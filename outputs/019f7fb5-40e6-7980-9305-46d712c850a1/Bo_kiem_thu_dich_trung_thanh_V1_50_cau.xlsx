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ca8f4b40904af1" /></Relationships>
</file>

<file path=xl/workbook.xml><?xml version="1.0" encoding="utf-8"?>
<x:workbook xmlns:x="http://schemas.openxmlformats.org/spreadsheetml/2006/main">
  <x:sheets>
    <x:sheet xmlns:r="http://schemas.openxmlformats.org/officeDocument/2006/relationships" name="Tổng quan" sheetId="1" r:id="Rd6f1586568a24a72"/>
    <x:sheet xmlns:r="http://schemas.openxmlformats.org/officeDocument/2006/relationships" name="50 câu kiểm thử" sheetId="2" r:id="Rf329bb24733c451b"/>
    <x:sheet xmlns:r="http://schemas.openxmlformats.org/officeDocument/2006/relationships" name="Hướng dẫn" sheetId="3" r:id="R1c0fb762154340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4">
    <x:font>
      <x:sz val="11"/>
      <x:name val="Carlito"/>
    </x:font>
    <x:font>
      <x:b/>
      <x:sz val="16"/>
      <x:color rgb="FFFFFFFF"/>
      <x:name val="Carlito"/>
    </x:font>
    <x:font>
      <x:i/>
      <x:sz val="11"/>
      <x:color rgb="FF1E3A8A"/>
      <x:name val="Carlito"/>
    </x:font>
    <x:font>
      <x:b/>
      <x:sz val="11"/>
      <x:color rgb="FF1E3A8A"/>
      <x:name val="Carlito"/>
    </x:font>
    <x:font>
      <x:b/>
      <x:sz val="16"/>
      <x:color rgb="FFFFFFFF"/>
      <x:name val="Aptos"/>
    </x:font>
    <x:font>
      <x:sz val="11"/>
      <x:name val="Aptos"/>
    </x:font>
    <x:font>
      <x:b/>
      <x:sz val="11"/>
      <x:color rgb="FF1E3A8A"/>
      <x:name val="Aptos"/>
    </x:font>
    <x:font>
      <x:i/>
      <x:sz val="11"/>
      <x:color rgb="FF1E3A8A"/>
      <x:name val="Aptos"/>
    </x:font>
    <x:font>
      <x:b/>
      <x:sz val="15"/>
      <x:color rgb="FFFFFFFF"/>
      <x:name val="Carlito"/>
    </x:font>
    <x:font>
      <x:b/>
      <x:sz val="11"/>
      <x:color rgb="FFFFFFFF"/>
      <x:name val="Carlito"/>
    </x:font>
    <x:font>
      <x:sz val="10"/>
      <x:name val="Aptos"/>
    </x:font>
    <x:font>
      <x:i/>
      <x:sz val="11"/>
      <x:color rgb="FF9A3412"/>
      <x:name val="Carlito"/>
    </x:font>
    <x:font>
      <x:b/>
      <x:sz val="15"/>
      <x:color rgb="FFFFFFFF"/>
      <x:name val="Aptos"/>
    </x:font>
    <x:font>
      <x:i/>
      <x:sz val="11"/>
      <x:color rgb="FF9A3412"/>
      <x:name val="Aptos"/>
    </x:font>
  </x:fonts>
  <x:fills count="7">
    <x:fill>
      <x:patternFill patternType="none"/>
    </x:fill>
    <x:fill>
      <x:patternFill patternType="gray125"/>
    </x:fill>
    <x:fill>
      <x:patternFill patternType="solid">
        <x:fgColor rgb="FF1D4ED8"/>
      </x:patternFill>
    </x:fill>
    <x:fill>
      <x:patternFill patternType="solid">
        <x:fgColor rgb="FFEFF6FF"/>
      </x:patternFill>
    </x:fill>
    <x:fill>
      <x:patternFill patternType="solid">
        <x:fgColor rgb="FFDBEAFE"/>
      </x:patternFill>
    </x:fill>
    <x:fill>
      <x:patternFill patternType="solid">
        <x:fgColor rgb="FF1E40AF"/>
      </x:patternFill>
    </x:fill>
    <x:fill>
      <x:patternFill patternType="solid">
        <x:fgColor rgb="FFFFF7ED"/>
      </x:patternFill>
    </x:fill>
  </x:fills>
  <x:borders count="31">
    <x:border/>
    <x:border>
      <x:left style="thin">
        <x:color rgb="FF93C5FD"/>
      </x:left>
      <x:top style="thin">
        <x:color rgb="FF93C5FD"/>
      </x:top>
      <x:bottom style="thin">
        <x:color rgb="FF93C5FD"/>
      </x:bottom>
    </x:border>
    <x:border>
      <x:right style="thin">
        <x:color rgb="FF93C5FD"/>
      </x:right>
      <x:top style="thin">
        <x:color rgb="FF93C5FD"/>
      </x:top>
      <x:bottom style="thin">
        <x:color rgb="FF93C5FD"/>
      </x:bottom>
    </x:border>
    <x:border>
      <x:top style="thin">
        <x:color rgb="FF93C5FD"/>
      </x:top>
      <x:bottom style="thin">
        <x:color rgb="FF93C5FD"/>
      </x:bottom>
    </x:border>
    <x:border>
      <x:left style="thin">
        <x:color rgb="FFCBD5E1"/>
      </x:left>
      <x:top style="thin">
        <x:color rgb="FFCBD5E1"/>
      </x:top>
      <x:bottom style="thin">
        <x:color rgb="FF93C5FD"/>
      </x:bottom>
    </x:border>
    <x:border>
      <x:right style="thin">
        <x:color rgb="FFCBD5E1"/>
      </x:right>
      <x:top style="thin">
        <x:color rgb="FFCBD5E1"/>
      </x:top>
      <x:bottom style="thin">
        <x:color rgb="FF93C5FD"/>
      </x:bottom>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top style="thin">
        <x:color rgb="FFCBD5E1"/>
      </x:top>
      <x:bottom style="thin">
        <x:color rgb="FF93C5FD"/>
      </x:bottom>
    </x:border>
    <x:border>
      <x:bottom style="thin">
        <x:color rgb="FFCBD5E1"/>
      </x:bottom>
    </x:border>
    <x:border>
      <x:left style="thin">
        <x:color rgb="FF1E3A8A"/>
      </x:left>
      <x:top style="thin">
        <x:color rgb="FF1E3A8A"/>
      </x:top>
      <x:bottom style="thin">
        <x:color rgb="FF1E3A8A"/>
      </x:bottom>
    </x:border>
    <x:border>
      <x:top style="thin">
        <x:color rgb="FF1E3A8A"/>
      </x:top>
      <x:bottom style="thin">
        <x:color rgb="FF1E3A8A"/>
      </x:bottom>
    </x:border>
    <x:border>
      <x:right style="thin">
        <x:color rgb="FF1E3A8A"/>
      </x:right>
      <x:top style="thin">
        <x:color rgb="FF1E3A8A"/>
      </x:top>
      <x:bottom style="thin">
        <x:color rgb="FF1E3A8A"/>
      </x:bottom>
    </x:border>
    <x:border>
      <x:bottom style="thin">
        <x:color rgb="FFE2E8F0"/>
      </x:bottom>
    </x:border>
    <x:border>
      <x:top style="thin">
        <x:color rgb="FFE2E8F0"/>
      </x:top>
      <x:bottom style="thin">
        <x:color rgb="FFE2E8F0"/>
      </x:bottom>
    </x:border>
    <x:border>
      <x:top style="thin">
        <x:color rgb="FFE2E8F0"/>
      </x:top>
    </x:border>
    <x:border>
      <x:left style="thin">
        <x:color rgb="FF94A3B8"/>
      </x:left>
      <x:top style="thin">
        <x:color rgb="FF94A3B8"/>
      </x:top>
      <x:bottom style="thin">
        <x:color rgb="FF1E3A8A"/>
      </x:bottom>
    </x:border>
    <x:border>
      <x:top style="thin">
        <x:color rgb="FF94A3B8"/>
      </x:top>
      <x:bottom style="thin">
        <x:color rgb="FF1E3A8A"/>
      </x:bottom>
    </x:border>
    <x:border>
      <x:right style="thin">
        <x:color rgb="FF94A3B8"/>
      </x:right>
      <x:top style="thin">
        <x:color rgb="FF94A3B8"/>
      </x:top>
      <x:bottom style="thin">
        <x:color rgb="FF1E3A8A"/>
      </x:bottom>
    </x:border>
    <x:border>
      <x:left style="thin">
        <x:color rgb="FF94A3B8"/>
      </x:left>
      <x:bottom style="thin">
        <x:color rgb="FFE2E8F0"/>
      </x:bottom>
    </x:border>
    <x:border>
      <x:right style="thin">
        <x:color rgb="FF94A3B8"/>
      </x:right>
      <x:bottom style="thin">
        <x:color rgb="FFE2E8F0"/>
      </x:bottom>
    </x:border>
    <x:border>
      <x:left style="thin">
        <x:color rgb="FF94A3B8"/>
      </x:left>
      <x:top style="thin">
        <x:color rgb="FFE2E8F0"/>
      </x:top>
      <x:bottom style="thin">
        <x:color rgb="FFE2E8F0"/>
      </x:bottom>
    </x:border>
    <x:border>
      <x:right style="thin">
        <x:color rgb="FF94A3B8"/>
      </x:right>
      <x:top style="thin">
        <x:color rgb="FFE2E8F0"/>
      </x:top>
      <x:bottom style="thin">
        <x:color rgb="FFE2E8F0"/>
      </x:bottom>
    </x:border>
    <x:border>
      <x:left style="thin">
        <x:color rgb="FF94A3B8"/>
      </x:left>
      <x:top style="thin">
        <x:color rgb="FFE2E8F0"/>
      </x:top>
      <x:bottom style="thin">
        <x:color rgb="FF94A3B8"/>
      </x:bottom>
    </x:border>
    <x:border>
      <x:top style="thin">
        <x:color rgb="FFE2E8F0"/>
      </x:top>
      <x:bottom style="thin">
        <x:color rgb="FF94A3B8"/>
      </x:bottom>
    </x:border>
    <x:border>
      <x:right style="thin">
        <x:color rgb="FF94A3B8"/>
      </x:right>
      <x:top style="thin">
        <x:color rgb="FFE2E8F0"/>
      </x:top>
      <x:bottom style="thin">
        <x:color rgb="FF94A3B8"/>
      </x:bottom>
    </x:border>
    <x:border>
      <x:left style="thin">
        <x:color rgb="FFCBD5E1"/>
      </x:left>
      <x:top style="thin">
        <x:color rgb="FFCBD5E1"/>
      </x:top>
    </x:border>
    <x:border>
      <x:right style="thin">
        <x:color rgb="FFCBD5E1"/>
      </x:right>
      <x:top style="thin">
        <x:color rgb="FFCBD5E1"/>
      </x:top>
    </x:border>
    <x:border>
      <x:top style="thin">
        <x:color rgb="FFCBD5E1"/>
      </x:top>
    </x:border>
  </x:borders>
  <x:cellStyleXfs count="1">
    <x:xf numFmtId="0" fontId="0" fillId="0" borderId="0"/>
  </x:cellStyleXfs>
  <x:cellXfs count="1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20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3" fillId="4" borderId="10" xfId="0" applyNumberFormat="1" applyFont="1" applyFill="1" applyBorder="1"/>
    <x:xf numFmtId="0" fontId="0" fillId="0" borderId="0" xfId="0" applyNumberFormat="1" applyFont="1" applyFill="1" applyBorder="1"/>
    <x:xf numFmtId="200" fontId="0" fillId="0" borderId="7" xfId="0" applyNumberFormat="1" applyFont="1" applyFill="1" applyBorder="1"/>
    <x:xf numFmtId="0" fontId="0" fillId="0" borderId="11" xfId="0" applyNumberFormat="1" applyFont="1" applyFill="1" applyBorder="1"/>
    <x:xf numFmtId="200" fontId="0" fillId="0" borderId="9" xfId="0" applyNumberFormat="1" applyFont="1" applyFill="1" applyBorder="1"/>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6" fillId="4" borderId="10" xfId="0" applyNumberFormat="1" applyFont="1" applyFill="1" applyBorder="1"/>
    <x:xf numFmtId="200" fontId="5" fillId="0" borderId="7" xfId="0" applyNumberFormat="1" applyFont="1" applyFill="1" applyBorder="1"/>
    <x:xf numFmtId="0" fontId="5" fillId="0" borderId="11" xfId="0" applyNumberFormat="1" applyFont="1" applyFill="1" applyBorder="1"/>
    <x:xf numFmtId="200" fontId="5" fillId="0" borderId="9" xfId="0" applyNumberFormat="1" applyFont="1" applyFill="1" applyBorder="1"/>
    <x:xf numFmtId="0" fontId="7" fillId="3" borderId="0"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0" fillId="5" borderId="0" xfId="0" applyNumberFormat="1" applyFont="1" applyFill="1" applyBorder="1"/>
    <x:xf numFmtId="0" fontId="9" fillId="5" borderId="0" xfId="0" applyNumberFormat="1" applyFont="1" applyFill="1" applyBorder="1"/>
    <x:xf numFmtId="0" fontId="9" fillId="5" borderId="12" xfId="0" applyNumberFormat="1" applyFont="1" applyFill="1" applyBorder="1"/>
    <x:xf numFmtId="0" fontId="9" fillId="5" borderId="13" xfId="0" applyNumberFormat="1" applyFont="1" applyFill="1" applyBorder="1"/>
    <x:xf numFmtId="0" fontId="9" fillId="5" borderId="14" xfId="0" applyNumberFormat="1" applyFont="1" applyFill="1" applyBorder="1"/>
    <x:xf numFmtId="0" fontId="9" fillId="5" borderId="12" xfId="0" applyNumberFormat="1" applyFont="1" applyFill="1" applyBorder="1" applyAlignment="1">
      <x:alignment wrapText="1"/>
    </x:xf>
    <x:xf numFmtId="0" fontId="9" fillId="5" borderId="13" xfId="0" applyNumberFormat="1" applyFont="1" applyFill="1" applyBorder="1" applyAlignment="1">
      <x:alignment wrapText="1"/>
    </x:xf>
    <x:xf numFmtId="0" fontId="9" fillId="5" borderId="14" xfId="0" applyNumberFormat="1" applyFont="1" applyFill="1" applyBorder="1" applyAlignment="1">
      <x:alignment wrapText="1"/>
    </x:xf>
    <x:xf numFmtId="0" fontId="9" fillId="5" borderId="12" xfId="0" applyNumberFormat="1" applyFont="1" applyFill="1" applyBorder="1" applyAlignment="1">
      <x:alignment horizontal="center" wrapText="1"/>
    </x:xf>
    <x:xf numFmtId="0" fontId="9" fillId="5" borderId="13" xfId="0" applyNumberFormat="1" applyFont="1" applyFill="1" applyBorder="1" applyAlignment="1">
      <x:alignment horizontal="center" wrapText="1"/>
    </x:xf>
    <x:xf numFmtId="0" fontId="9" fillId="5" borderId="14" xfId="0" applyNumberFormat="1" applyFont="1" applyFill="1" applyBorder="1" applyAlignment="1">
      <x:alignment horizontal="center" wrapText="1"/>
    </x:xf>
    <x:xf numFmtId="0" fontId="9" fillId="5" borderId="12" xfId="0" applyNumberFormat="1" applyFont="1" applyFill="1" applyBorder="1" applyAlignment="1">
      <x:alignment horizontal="center" vertical="center" wrapText="1"/>
    </x:xf>
    <x:xf numFmtId="0" fontId="9" fillId="5" borderId="13" xfId="0" applyNumberFormat="1" applyFont="1" applyFill="1" applyBorder="1" applyAlignment="1">
      <x:alignment horizontal="center" vertical="center" wrapText="1"/>
    </x:xf>
    <x:xf numFmtId="0" fontId="9" fillId="5" borderId="14" xfId="0" applyNumberFormat="1" applyFont="1" applyFill="1" applyBorder="1" applyAlignment="1">
      <x:alignment horizontal="center" vertical="center" wrapText="1"/>
    </x:xf>
    <x:xf numFmtId="0" fontId="10" fillId="0" borderId="0" xfId="0" applyNumberFormat="1" applyFont="1" applyFill="1" applyBorder="1"/>
    <x:xf numFmtId="0" fontId="10" fillId="0" borderId="15" xfId="0" applyNumberFormat="1" applyFont="1" applyFill="1" applyBorder="1"/>
    <x:xf numFmtId="0" fontId="10" fillId="0" borderId="16" xfId="0" applyNumberFormat="1" applyFont="1" applyFill="1" applyBorder="1"/>
    <x:xf numFmtId="0" fontId="10" fillId="0" borderId="17" xfId="0" applyNumberFormat="1" applyFont="1" applyFill="1" applyBorder="1"/>
    <x:xf numFmtId="0" fontId="10" fillId="0" borderId="15" xfId="0" applyNumberFormat="1" applyFont="1" applyFill="1" applyBorder="1" applyAlignment="1">
      <x:alignment wrapText="1"/>
    </x:xf>
    <x:xf numFmtId="0" fontId="10" fillId="0" borderId="16" xfId="0" applyNumberFormat="1" applyFont="1" applyFill="1" applyBorder="1" applyAlignment="1">
      <x:alignment wrapText="1"/>
    </x:xf>
    <x:xf numFmtId="0" fontId="10" fillId="0" borderId="17" xfId="0" applyNumberFormat="1" applyFont="1" applyFill="1" applyBorder="1" applyAlignment="1">
      <x:alignment wrapText="1"/>
    </x:xf>
    <x:xf numFmtId="0" fontId="10" fillId="0" borderId="15" xfId="0" applyNumberFormat="1" applyFont="1" applyFill="1" applyBorder="1" applyAlignment="1">
      <x:alignment vertical="top" wrapText="1"/>
    </x:xf>
    <x:xf numFmtId="0" fontId="10" fillId="0" borderId="16" xfId="0" applyNumberFormat="1" applyFont="1" applyFill="1" applyBorder="1" applyAlignment="1">
      <x:alignment vertical="top" wrapText="1"/>
    </x:xf>
    <x:xf numFmtId="0" fontId="10" fillId="0" borderId="17" xfId="0" applyNumberFormat="1" applyFont="1" applyFill="1" applyBorder="1" applyAlignment="1">
      <x:alignment vertical="top" wrapText="1"/>
    </x:xf>
    <x:xf numFmtId="0" fontId="10" fillId="0" borderId="15" xfId="0" applyNumberFormat="1" applyFont="1" applyFill="1" applyBorder="1" applyAlignment="1">
      <x:alignment horizontal="center" vertical="top" wrapText="1"/>
    </x:xf>
    <x:xf numFmtId="0" fontId="10" fillId="0" borderId="16" xfId="0" applyNumberFormat="1" applyFont="1" applyFill="1" applyBorder="1" applyAlignment="1">
      <x:alignment horizontal="center" vertical="top" wrapText="1"/>
    </x:xf>
    <x:xf numFmtId="0" fontId="10" fillId="0" borderId="17" xfId="0" applyNumberFormat="1" applyFont="1" applyFill="1" applyBorder="1" applyAlignment="1">
      <x:alignment horizontal="center" vertical="top" wrapText="1"/>
    </x:xf>
    <x:xf numFmtId="0" fontId="9" fillId="5" borderId="18" xfId="0" applyNumberFormat="1" applyFont="1" applyFill="1" applyBorder="1" applyAlignment="1">
      <x:alignment horizontal="center" vertical="center" wrapText="1"/>
    </x:xf>
    <x:xf numFmtId="0" fontId="9" fillId="5" borderId="19" xfId="0" applyNumberFormat="1" applyFont="1" applyFill="1" applyBorder="1" applyAlignment="1">
      <x:alignment horizontal="center" vertical="center" wrapText="1"/>
    </x:xf>
    <x:xf numFmtId="0" fontId="9" fillId="5" borderId="20" xfId="0" applyNumberFormat="1" applyFont="1" applyFill="1" applyBorder="1" applyAlignment="1">
      <x:alignment horizontal="center" vertical="center" wrapText="1"/>
    </x:xf>
    <x:xf numFmtId="0" fontId="10" fillId="0" borderId="21" xfId="0" applyNumberFormat="1" applyFont="1" applyFill="1" applyBorder="1" applyAlignment="1">
      <x:alignment horizontal="center" vertical="top" wrapText="1"/>
    </x:xf>
    <x:xf numFmtId="0" fontId="10" fillId="0" borderId="22" xfId="0" applyNumberFormat="1" applyFont="1" applyFill="1" applyBorder="1" applyAlignment="1">
      <x:alignment vertical="top" wrapText="1"/>
    </x:xf>
    <x:xf numFmtId="0" fontId="10" fillId="0" borderId="23" xfId="0" applyNumberFormat="1" applyFont="1" applyFill="1" applyBorder="1" applyAlignment="1">
      <x:alignment horizontal="center" vertical="top" wrapText="1"/>
    </x:xf>
    <x:xf numFmtId="0" fontId="10" fillId="0" borderId="24" xfId="0" applyNumberFormat="1" applyFont="1" applyFill="1" applyBorder="1" applyAlignment="1">
      <x:alignment vertical="top" wrapText="1"/>
    </x:xf>
    <x:xf numFmtId="0" fontId="10" fillId="0" borderId="25" xfId="0" applyNumberFormat="1" applyFont="1" applyFill="1" applyBorder="1" applyAlignment="1">
      <x:alignment horizontal="center" vertical="top" wrapText="1"/>
    </x:xf>
    <x:xf numFmtId="0" fontId="10" fillId="0" borderId="26" xfId="0" applyNumberFormat="1" applyFont="1" applyFill="1" applyBorder="1" applyAlignment="1">
      <x:alignment vertical="top" wrapText="1"/>
    </x:xf>
    <x:xf numFmtId="0" fontId="10" fillId="0" borderId="26" xfId="0" applyNumberFormat="1" applyFont="1" applyFill="1" applyBorder="1" applyAlignment="1">
      <x:alignment horizontal="center" vertical="top" wrapText="1"/>
    </x:xf>
    <x:xf numFmtId="0" fontId="10" fillId="0" borderId="27" xfId="0" applyNumberFormat="1" applyFont="1" applyFill="1" applyBorder="1" applyAlignment="1">
      <x:alignment vertical="top" wrapText="1"/>
    </x:xf>
    <x:xf numFmtId="0" fontId="0" fillId="6" borderId="0" xfId="0" applyNumberFormat="1" applyFont="1" applyFill="1" applyBorder="1"/>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vertical="center" wrapText="1"/>
    </x:xf>
    <x:xf numFmtId="0" fontId="3" fillId="4" borderId="28" xfId="0" applyNumberFormat="1" applyFont="1" applyFill="1" applyBorder="1"/>
    <x:xf numFmtId="0" fontId="3" fillId="4" borderId="29" xfId="0" applyNumberFormat="1" applyFont="1" applyFill="1" applyBorder="1"/>
    <x:xf numFmtId="0" fontId="3" fillId="4" borderId="28" xfId="0" applyNumberFormat="1" applyFont="1" applyFill="1" applyBorder="1" applyAlignment="1">
      <x:alignment wrapText="1"/>
    </x:xf>
    <x:xf numFmtId="0" fontId="3" fillId="4" borderId="29"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3" fillId="4" borderId="28" xfId="0" applyNumberFormat="1" applyFont="1" applyFill="1" applyBorder="1" applyAlignment="1">
      <x:alignment vertical="top" wrapText="1"/>
    </x:xf>
    <x:xf numFmtId="0" fontId="3" fillId="4" borderId="29"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3" fillId="4" borderId="30" xfId="0" applyNumberFormat="1" applyFont="1" applyFill="1" applyBorder="1"/>
    <x:xf numFmtId="0" fontId="3" fillId="4" borderId="3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1" xfId="0" applyNumberFormat="1" applyFont="1" applyFill="1" applyBorder="1" applyAlignment="1">
      <x:alignment wrapText="1"/>
    </x:xf>
    <x:xf numFmtId="0" fontId="3" fillId="4" borderId="3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12" fillId="2" borderId="0" xfId="0" applyNumberFormat="1" applyFont="1" applyFill="1" applyBorder="1" applyAlignment="1">
      <x:alignment horizontal="center" vertical="center"/>
    </x:xf>
    <x:xf numFmtId="0" fontId="6" fillId="4" borderId="28" xfId="0" applyNumberFormat="1" applyFont="1" applyFill="1" applyBorder="1" applyAlignment="1">
      <x:alignment vertical="top" wrapText="1"/>
    </x:xf>
    <x:xf numFmtId="0" fontId="6" fillId="4" borderId="29" xfId="0" applyNumberFormat="1" applyFont="1" applyFill="1" applyBorder="1" applyAlignment="1">
      <x:alignment vertical="top" wrapText="1"/>
    </x:xf>
    <x:xf numFmtId="0" fontId="6" fillId="4" borderId="3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13" fillId="6" borderId="0" xfId="0" applyNumberFormat="1" applyFont="1" applyFill="1" applyBorder="1" applyAlignment="1">
      <x:alignment vertical="center" wrapText="1"/>
    </x:xf>
  </x:cellXfs>
  <x:cellStyles count="1">
    <x:cellStyle name="Normal" xfId="0"/>
  </x:cellStyles>
  <x:dxfs count="3">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a04b39492e44f3" /><Relationship Type="http://schemas.openxmlformats.org/officeDocument/2006/relationships/theme" Target="/xl/theme/theme1.xml" Id="R85cf91769716485c" /><Relationship Type="http://schemas.openxmlformats.org/officeDocument/2006/relationships/sharedStrings" Target="/xl/sharedStrings.xml" Id="Re13096d855ab4e5e" /><Relationship Type="http://schemas.openxmlformats.org/officeDocument/2006/relationships/worksheet" Target="/xl/worksheets/sheet1.xml" Id="Rd6f1586568a24a72" /><Relationship Type="http://schemas.openxmlformats.org/officeDocument/2006/relationships/worksheet" Target="/xl/worksheets/sheet2.xml" Id="Rf329bb24733c451b" /><Relationship Type="http://schemas.openxmlformats.org/officeDocument/2006/relationships/worksheet" Target="/xl/worksheets/sheet3.xml" Id="R1c0fb76215434019" /></Relationships>
</file>

<file path=xl/tables/table1.xml><?xml version="1.0" encoding="utf-8"?>
<x:table xmlns:x="http://schemas.openxmlformats.org/spreadsheetml/2006/main" id="1" name="GoldenTestSetV1" displayName="GoldenTestSetV1" ref="A4:K54" headerRowCount="1" totalsRowCount="0" totalsRowShown="0">
  <x:tableColumns count="11">
    <x:tableColumn id="1" name="ID"/>
    <x:tableColumn id="2" name="Nhóm"/>
    <x:tableColumn id="3" name="Câu tiếng Việt"/>
    <x:tableColumn id="4" name="Bản dịch chuẩn"/>
    <x:tableColumn id="5" name="Ví dụ không chấp nhận"/>
    <x:tableColumn id="6" name="Lỗi cần chặn"/>
    <x:tableColumn id="7" name="Tiêu chí bắt buộc"/>
    <x:tableColumn id="8" name="Đường xử lý"/>
    <x:tableColumn id="9" name="Kết quả AI"/>
    <x:tableColumn id="10" name="Đánh giá"/>
    <x:tableColumn id="11" name="Ghi chú kiểm duyệ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f976bb8cba4af9"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4" hidden="0" customWidth="1"/>
    <x:col min="3" max="3" width="14" hidden="0" customWidth="1"/>
    <x:col min="4" max="4" width="28" hidden="0" customWidth="1"/>
    <x:col min="5" max="5" width="14" hidden="0" customWidth="1"/>
    <x:col min="6" max="6" width="12" hidden="0" customWidth="1"/>
    <x:col min="7" max="7" width="12" hidden="0" customWidth="1"/>
    <x:col min="8" max="8" width="12" hidden="0" customWidth="1"/>
  </x:cols>
  <x:sheetData>
    <x:row r="1" ht="34" customHeight="1">
      <x:c r="A1" s="26" t="str">
        <x:v>BỘ KIỂM THỬ DỊCH TRUNG THÀNH V1 — 50 CÂU</x:v>
      </x:c>
      <x:c r="B1" s="26"/>
      <x:c r="C1" s="26"/>
      <x:c r="D1" s="26"/>
      <x:c r="E1" s="26"/>
      <x:c r="F1" s="26"/>
      <x:c r="G1" s="26"/>
      <x:c r="H1" s="26"/>
    </x:row>
    <x:row r="2">
      <x:c r="A2" s="27"/>
      <x:c r="B2" s="27"/>
      <x:c r="C2" s="27"/>
      <x:c r="D2" s="27"/>
      <x:c r="E2" s="27"/>
      <x:c r="F2" s="27"/>
      <x:c r="G2" s="27"/>
      <x:c r="H2" s="27"/>
    </x:row>
    <x:row r="3">
      <x:c r="A3" s="28" t="str">
        <x:v>Chỉ số</x:v>
      </x:c>
      <x:c r="B3" s="29" t="str">
        <x:v>Kết quả</x:v>
      </x:c>
      <x:c r="C3" s="27"/>
      <x:c r="D3" s="28" t="str">
        <x:v>Điều kiện phát hành</x:v>
      </x:c>
      <x:c r="E3" s="29" t="str">
        <x:v>Mục tiêu</x:v>
      </x:c>
      <x:c r="F3" s="27"/>
      <x:c r="G3" s="27"/>
      <x:c r="H3" s="27"/>
    </x:row>
    <x:row r="4">
      <x:c r="A4" s="30" t="str">
        <x:v>Tổng số câu</x:v>
      </x:c>
      <x:c r="B4" s="31" t="n">
        <x:f>COUNTA('50 câu kiểm thử'!$A$5:$A$54)</x:f>
        <x:v>50</x:v>
      </x:c>
      <x:c r="C4" s="27"/>
      <x:c r="D4" s="30" t="str">
        <x:v>Giữ đúng chủ thể/lời gọi</x:v>
      </x:c>
      <x:c r="E4" s="31" t="str">
        <x:v>100%</x:v>
      </x:c>
      <x:c r="F4" s="27"/>
      <x:c r="G4" s="27"/>
      <x:c r="H4" s="27"/>
    </x:row>
    <x:row r="5">
      <x:c r="A5" s="30" t="str">
        <x:v>Đã kiểm thử</x:v>
      </x:c>
      <x:c r="B5" s="31" t="n">
        <x:f>COUNTIF('50 câu kiểm thử'!$J$5:$J$54,"&lt;&gt;Chưa kiểm thử")-COUNTBLANK('50 câu kiểm thử'!$J$5:$J$54)</x:f>
        <x:v>0</x:v>
      </x:c>
      <x:c r="C5" s="27"/>
      <x:c r="D5" s="30" t="str">
        <x:v>Giữ đúng phủ định</x:v>
      </x:c>
      <x:c r="E5" s="31" t="str">
        <x:v>100%</x:v>
      </x:c>
      <x:c r="F5" s="27"/>
      <x:c r="G5" s="27"/>
      <x:c r="H5" s="27"/>
    </x:row>
    <x:row r="6">
      <x:c r="A6" s="30" t="str">
        <x:v>Đạt</x:v>
      </x:c>
      <x:c r="B6" s="31" t="n">
        <x:f>COUNTIF('50 câu kiểm thử'!$J$5:$J$54,"Đạt")</x:f>
        <x:v>0</x:v>
      </x:c>
      <x:c r="C6" s="27"/>
      <x:c r="D6" s="30" t="str">
        <x:v>Giữ đúng loại câu</x:v>
      </x:c>
      <x:c r="E6" s="31" t="str">
        <x:v>100%</x:v>
      </x:c>
      <x:c r="F6" s="27"/>
      <x:c r="G6" s="27"/>
      <x:c r="H6" s="27"/>
    </x:row>
    <x:row r="7">
      <x:c r="A7" s="32" t="str">
        <x:v>Không đạt/Cần duyệt</x:v>
      </x:c>
      <x:c r="B7" s="33" t="n">
        <x:f>COUNTIF('50 câu kiểm thử'!$J$5:$J$54,"Không đạt")+COUNTIF('50 câu kiểm thử'!$J$5:$J$54,"Cần duyệt")</x:f>
        <x:v>0</x:v>
      </x:c>
      <x:c r="C7" s="27"/>
      <x:c r="D7" s="32" t="str">
        <x:v>Không tự trả lời/thêm ý</x:v>
      </x:c>
      <x:c r="E7" s="33" t="str">
        <x:v>100%</x:v>
      </x:c>
      <x:c r="F7" s="27"/>
      <x:c r="G7" s="27"/>
      <x:c r="H7" s="27"/>
    </x:row>
    <x:row r="8">
      <x:c r="A8" s="27"/>
      <x:c r="B8" s="27"/>
      <x:c r="C8" s="27"/>
      <x:c r="D8" s="27"/>
      <x:c r="E8" s="27"/>
      <x:c r="F8" s="27"/>
      <x:c r="G8" s="27"/>
      <x:c r="H8" s="27"/>
    </x:row>
    <x:row r="9">
      <x:c r="A9" s="28" t="str">
        <x:v>Nhóm kiểm thử</x:v>
      </x:c>
      <x:c r="B9" s="34" t="str">
        <x:v>Số câu</x:v>
      </x:c>
      <x:c r="C9" s="34" t="str">
        <x:v>Đã đạt</x:v>
      </x:c>
      <x:c r="D9" s="29" t="str">
        <x:v>Tỷ lệ đạt</x:v>
      </x:c>
      <x:c r="E9" s="27"/>
      <x:c r="F9" s="27"/>
      <x:c r="G9" s="27"/>
      <x:c r="H9" s="27"/>
    </x:row>
    <x:row r="10">
      <x:c r="A10" s="30" t="str">
        <x:v>Chủ thể &amp; lời gọi</x:v>
      </x:c>
      <x:c r="B10" s="27" t="n">
        <x:f>COUNTIF('50 câu kiểm thử'!$B$5:$B$54,A10)</x:f>
        <x:v>5</x:v>
      </x:c>
      <x:c r="C10" s="27" t="n">
        <x:f>COUNTIFS('50 câu kiểm thử'!$B$5:$B$54,A10,'50 câu kiểm thử'!$J$5:$J$54,"Đạt")</x:f>
        <x:v>0</x:v>
      </x:c>
      <x:c r="D10" s="35" t="n">
        <x:f>IF(B10=0,0,C10/B10)</x:f>
        <x:v>0</x:v>
      </x:c>
      <x:c r="E10" s="27"/>
      <x:c r="F10" s="27"/>
      <x:c r="G10" s="27"/>
      <x:c r="H10" s="27"/>
    </x:row>
    <x:row r="11">
      <x:c r="A11" s="30" t="str">
        <x:v>Loại câu</x:v>
      </x:c>
      <x:c r="B11" s="27" t="n">
        <x:f>COUNTIF('50 câu kiểm thử'!$B$5:$B$54,A11)</x:f>
        <x:v>5</x:v>
      </x:c>
      <x:c r="C11" s="27" t="n">
        <x:f>COUNTIFS('50 câu kiểm thử'!$B$5:$B$54,A11,'50 câu kiểm thử'!$J$5:$J$54,"Đạt")</x:f>
        <x:v>0</x:v>
      </x:c>
      <x:c r="D11" s="35" t="n">
        <x:f>IF(B11=0,0,C11/B11)</x:f>
        <x:v>0</x:v>
      </x:c>
      <x:c r="E11" s="27"/>
      <x:c r="F11" s="27"/>
      <x:c r="G11" s="27"/>
      <x:c r="H11" s="27"/>
    </x:row>
    <x:row r="12">
      <x:c r="A12" s="30" t="str">
        <x:v>Phủ định &amp; sắc thái</x:v>
      </x:c>
      <x:c r="B12" s="27" t="n">
        <x:f>COUNTIF('50 câu kiểm thử'!$B$5:$B$54,A12)</x:f>
        <x:v>5</x:v>
      </x:c>
      <x:c r="C12" s="27" t="n">
        <x:f>COUNTIFS('50 câu kiểm thử'!$B$5:$B$54,A12,'50 câu kiểm thử'!$J$5:$J$54,"Đạt")</x:f>
        <x:v>0</x:v>
      </x:c>
      <x:c r="D12" s="35" t="n">
        <x:f>IF(B12=0,0,C12/B12)</x:f>
        <x:v>0</x:v>
      </x:c>
      <x:c r="E12" s="27"/>
      <x:c r="F12" s="27"/>
      <x:c r="G12" s="27"/>
      <x:c r="H12" s="27"/>
    </x:row>
    <x:row r="13">
      <x:c r="A13" s="30" t="str">
        <x:v>Yêu cầu &amp; xin phép</x:v>
      </x:c>
      <x:c r="B13" s="27" t="n">
        <x:f>COUNTIF('50 câu kiểm thử'!$B$5:$B$54,A13)</x:f>
        <x:v>5</x:v>
      </x:c>
      <x:c r="C13" s="27" t="n">
        <x:f>COUNTIFS('50 câu kiểm thử'!$B$5:$B$54,A13,'50 câu kiểm thử'!$J$5:$J$54,"Đạt")</x:f>
        <x:v>0</x:v>
      </x:c>
      <x:c r="D13" s="35" t="n">
        <x:f>IF(B13=0,0,C13/B13)</x:f>
        <x:v>0</x:v>
      </x:c>
      <x:c r="E13" s="27"/>
      <x:c r="F13" s="27"/>
      <x:c r="G13" s="27"/>
      <x:c r="H13" s="27"/>
    </x:row>
    <x:row r="14">
      <x:c r="A14" s="30" t="str">
        <x:v>Thời gian &amp; trạng thái</x:v>
      </x:c>
      <x:c r="B14" s="27" t="n">
        <x:f>COUNTIF('50 câu kiểm thử'!$B$5:$B$54,A14)</x:f>
        <x:v>5</x:v>
      </x:c>
      <x:c r="C14" s="27" t="n">
        <x:f>COUNTIFS('50 câu kiểm thử'!$B$5:$B$54,A14,'50 câu kiểm thử'!$J$5:$J$54,"Đạt")</x:f>
        <x:v>0</x:v>
      </x:c>
      <x:c r="D14" s="35" t="n">
        <x:f>IF(B14=0,0,C14/B14)</x:f>
        <x:v>0</x:v>
      </x:c>
      <x:c r="E14" s="27"/>
      <x:c r="F14" s="27"/>
      <x:c r="G14" s="27"/>
      <x:c r="H14" s="27"/>
    </x:row>
    <x:row r="15">
      <x:c r="A15" s="30" t="str">
        <x:v>Số lượng &amp; sở hữu</x:v>
      </x:c>
      <x:c r="B15" s="27" t="n">
        <x:f>COUNTIF('50 câu kiểm thử'!$B$5:$B$54,A15)</x:f>
        <x:v>5</x:v>
      </x:c>
      <x:c r="C15" s="27" t="n">
        <x:f>COUNTIFS('50 câu kiểm thử'!$B$5:$B$54,A15,'50 câu kiểm thử'!$J$5:$J$54,"Đạt")</x:f>
        <x:v>0</x:v>
      </x:c>
      <x:c r="D15" s="35" t="n">
        <x:f>IF(B15=0,0,C15/B15)</x:f>
        <x:v>0</x:v>
      </x:c>
      <x:c r="E15" s="27"/>
      <x:c r="F15" s="27"/>
      <x:c r="G15" s="27"/>
      <x:c r="H15" s="27"/>
    </x:row>
    <x:row r="16">
      <x:c r="A16" s="30" t="str">
        <x:v>Hành động &amp; địa điểm</x:v>
      </x:c>
      <x:c r="B16" s="27" t="n">
        <x:f>COUNTIF('50 câu kiểm thử'!$B$5:$B$54,A16)</x:f>
        <x:v>5</x:v>
      </x:c>
      <x:c r="C16" s="27" t="n">
        <x:f>COUNTIFS('50 câu kiểm thử'!$B$5:$B$54,A16,'50 câu kiểm thử'!$J$5:$J$54,"Đạt")</x:f>
        <x:v>0</x:v>
      </x:c>
      <x:c r="D16" s="35" t="n">
        <x:f>IF(B16=0,0,C16/B16)</x:f>
        <x:v>0</x:v>
      </x:c>
      <x:c r="E16" s="27"/>
      <x:c r="F16" s="27"/>
      <x:c r="G16" s="27"/>
      <x:c r="H16" s="27"/>
    </x:row>
    <x:row r="17">
      <x:c r="A17" s="30" t="str">
        <x:v>Câu chưa hoàn chỉnh</x:v>
      </x:c>
      <x:c r="B17" s="27" t="n">
        <x:f>COUNTIF('50 câu kiểm thử'!$B$5:$B$54,A17)</x:f>
        <x:v>5</x:v>
      </x:c>
      <x:c r="C17" s="27" t="n">
        <x:f>COUNTIFS('50 câu kiểm thử'!$B$5:$B$54,A17,'50 câu kiểm thử'!$J$5:$J$54,"Đạt")</x:f>
        <x:v>0</x:v>
      </x:c>
      <x:c r="D17" s="35" t="n">
        <x:f>IF(B17=0,0,C17/B17)</x:f>
        <x:v>0</x:v>
      </x:c>
      <x:c r="E17" s="27"/>
      <x:c r="F17" s="27"/>
      <x:c r="G17" s="27"/>
      <x:c r="H17" s="27"/>
    </x:row>
    <x:row r="18">
      <x:c r="A18" s="30" t="str">
        <x:v>Khẩu ngữ &amp; vùng miền</x:v>
      </x:c>
      <x:c r="B18" s="27" t="n">
        <x:f>COUNTIF('50 câu kiểm thử'!$B$5:$B$54,A18)</x:f>
        <x:v>5</x:v>
      </x:c>
      <x:c r="C18" s="27" t="n">
        <x:f>COUNTIFS('50 câu kiểm thử'!$B$5:$B$54,A18,'50 câu kiểm thử'!$J$5:$J$54,"Đạt")</x:f>
        <x:v>0</x:v>
      </x:c>
      <x:c r="D18" s="35" t="n">
        <x:f>IF(B18=0,0,C18/B18)</x:f>
        <x:v>0</x:v>
      </x:c>
      <x:c r="E18" s="27"/>
      <x:c r="F18" s="27"/>
      <x:c r="G18" s="27"/>
      <x:c r="H18" s="27"/>
    </x:row>
    <x:row r="19">
      <x:c r="A19" s="32" t="str">
        <x:v>Không trả lời/suy diễn</x:v>
      </x:c>
      <x:c r="B19" s="36" t="n">
        <x:f>COUNTIF('50 câu kiểm thử'!$B$5:$B$54,A19)</x:f>
        <x:v>5</x:v>
      </x:c>
      <x:c r="C19" s="36" t="n">
        <x:f>COUNTIFS('50 câu kiểm thử'!$B$5:$B$54,A19,'50 câu kiểm thử'!$J$5:$J$54,"Đạt")</x:f>
        <x:v>0</x:v>
      </x:c>
      <x:c r="D19" s="37" t="n">
        <x:f>IF(B19=0,0,C19/B19)</x:f>
        <x:v>0</x:v>
      </x:c>
      <x:c r="E19" s="27"/>
      <x:c r="F19" s="27"/>
      <x:c r="G19" s="27"/>
      <x:c r="H19" s="27"/>
    </x:row>
    <x:row r="20">
      <x:c r="A20" s="27"/>
      <x:c r="B20" s="27"/>
      <x:c r="C20" s="27"/>
      <x:c r="D20" s="27"/>
      <x:c r="E20" s="27"/>
      <x:c r="F20" s="27"/>
      <x:c r="G20" s="27"/>
      <x:c r="H20" s="27"/>
    </x:row>
    <x:row r="21">
      <x:c r="A21" s="38" t="str">
        <x:v>Nguyên tắc: kiểm thử prompt trực tiếp, bỏ qua rule và cache. Một câu chỉ được đánh dấu Đạt khi giữ đúng nội dung và tự nhiên trong tiếng Anh. Các lỗi đổi chủ thể, mất phủ định, đổi loại câu hoặc tự trả lời là lỗi chặn phát hành, không được bù bằng tỷ lệ trung bình.</x:v>
      </x:c>
      <x:c r="B21" s="38"/>
      <x:c r="C21" s="38"/>
      <x:c r="D21" s="38"/>
      <x:c r="E21" s="38"/>
      <x:c r="F21" s="38"/>
      <x:c r="G21" s="38"/>
      <x:c r="H21" s="38"/>
    </x:row>
    <x:row r="22">
      <x:c r="A22" s="38"/>
      <x:c r="B22" s="38"/>
      <x:c r="C22" s="38"/>
      <x:c r="D22" s="38"/>
      <x:c r="E22" s="38"/>
      <x:c r="F22" s="38"/>
      <x:c r="G22" s="38"/>
      <x:c r="H22" s="38"/>
    </x:row>
    <x:row r="23">
      <x:c r="A23" s="38"/>
      <x:c r="B23" s="38"/>
      <x:c r="C23" s="38"/>
      <x:c r="D23" s="38"/>
      <x:c r="E23" s="38"/>
      <x:c r="F23" s="38"/>
      <x:c r="G23" s="38"/>
      <x:c r="H23" s="38"/>
    </x:row>
  </x:sheetData>
  <x:mergeCells>
    <x:mergeCell ref="A1:H1"/>
    <x:mergeCell ref="A21: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33" hidden="0" customWidth="1"/>
    <x:col min="4" max="4" width="33" hidden="0" customWidth="1"/>
    <x:col min="5" max="5" width="33" hidden="0" customWidth="1"/>
    <x:col min="6" max="6" width="44" hidden="0" customWidth="1"/>
    <x:col min="7" max="7" width="28" hidden="0" customWidth="1"/>
    <x:col min="8" max="8" width="17" hidden="0" customWidth="1"/>
    <x:col min="9" max="9" width="35" hidden="0" customWidth="1"/>
    <x:col min="10" max="10" width="16" hidden="0" customWidth="1"/>
    <x:col min="11" max="11" width="35" hidden="0" customWidth="1"/>
  </x:cols>
  <x:sheetData>
    <x:row r="1" ht="32" customHeight="1">
      <x:c r="A1" s="41" t="str">
        <x:v>GOLDEN TEST SET — PROMPT DỊCH TRUNG THÀNH V1</x:v>
      </x:c>
      <x:c r="B1" s="41"/>
      <x:c r="C1" s="41"/>
      <x:c r="D1" s="41"/>
      <x:c r="E1" s="41"/>
      <x:c r="F1" s="41"/>
      <x:c r="G1" s="41"/>
      <x:c r="H1" s="41"/>
      <x:c r="I1" s="41"/>
      <x:c r="J1" s="41"/>
      <x:c r="K1" s="41"/>
    </x:row>
    <x:row r="2">
      <x:c r="A2" s="8" t="str">
        <x:v>Cách chạy: gửi riêng từng câu tiếng Việt vào prompt V1, không cho rule/cache can thiệp; nhập kết quả vào cột I và đánh giá tại cột J.</x:v>
      </x:c>
      <x:c r="B2" s="8"/>
      <x:c r="C2" s="8"/>
      <x:c r="D2" s="8"/>
      <x:c r="E2" s="8"/>
      <x:c r="F2" s="8"/>
      <x:c r="G2" s="8"/>
      <x:c r="H2" s="8"/>
      <x:c r="I2" s="8"/>
      <x:c r="J2" s="8"/>
      <x:c r="K2" s="8"/>
    </x:row>
    <x:row r="4" ht="42" customHeight="1">
      <x:c r="A4" s="69" t="str">
        <x:v>ID</x:v>
      </x:c>
      <x:c r="B4" s="70" t="str">
        <x:v>Nhóm</x:v>
      </x:c>
      <x:c r="C4" s="70" t="str">
        <x:v>Câu tiếng Việt</x:v>
      </x:c>
      <x:c r="D4" s="70" t="str">
        <x:v>Bản dịch chuẩn</x:v>
      </x:c>
      <x:c r="E4" s="70" t="str">
        <x:v>Ví dụ không chấp nhận</x:v>
      </x:c>
      <x:c r="F4" s="70" t="str">
        <x:v>Lỗi cần chặn</x:v>
      </x:c>
      <x:c r="G4" s="70" t="str">
        <x:v>Tiêu chí bắt buộc</x:v>
      </x:c>
      <x:c r="H4" s="70" t="str">
        <x:v>Đường xử lý</x:v>
      </x:c>
      <x:c r="I4" s="70" t="str">
        <x:v>Kết quả AI</x:v>
      </x:c>
      <x:c r="J4" s="70" t="str">
        <x:v>Đánh giá</x:v>
      </x:c>
      <x:c r="K4" s="71" t="str">
        <x:v>Ghi chú kiểm duyệt</x:v>
      </x:c>
    </x:row>
    <x:row r="5" ht="54" customHeight="1">
      <x:c r="A5" s="72" t="str">
        <x:v>V1-001</x:v>
      </x:c>
      <x:c r="B5" s="63" t="str">
        <x:v>Chủ thể &amp; lời gọi</x:v>
      </x:c>
      <x:c r="C5" s="63" t="str">
        <x:v>Mẹ ơi, con muốn mua cái này.</x:v>
      </x:c>
      <x:c r="D5" s="63" t="str">
        <x:v>Mom, I want to buy this.</x:v>
      </x:c>
      <x:c r="E5" s="63" t="str">
        <x:v>Can we buy this?</x:v>
      </x:c>
      <x:c r="F5" s="63" t="str">
        <x:v>Không được bỏ lời gọi, đổi I thành we hoặc đổi câu kể thành câu hỏi.</x:v>
      </x:c>
      <x:c r="G5" s="63" t="str">
        <x:v>Chủ thể; lời gọi; loại câu</x:v>
      </x:c>
      <x:c r="H5" s="66" t="str">
        <x:v>AI trung thành</x:v>
      </x:c>
      <x:c r="I5" s="63" t="str"/>
      <x:c r="J5" s="66" t="str">
        <x:v>Chưa kiểm thử</x:v>
      </x:c>
      <x:c r="K5" s="73" t="str"/>
    </x:row>
    <x:row r="6" ht="54" customHeight="1">
      <x:c r="A6" s="74" t="str">
        <x:v>V1-002</x:v>
      </x:c>
      <x:c r="B6" s="64" t="str">
        <x:v>Chủ thể &amp; lời gọi</x:v>
      </x:c>
      <x:c r="C6" s="64" t="str">
        <x:v>Bố ơi, con muốn về nhà.</x:v>
      </x:c>
      <x:c r="D6" s="64" t="str">
        <x:v>Dad, I want to go home.</x:v>
      </x:c>
      <x:c r="E6" s="64" t="str">
        <x:v>Dad, let's go home.</x:v>
      </x:c>
      <x:c r="F6" s="64" t="str">
        <x:v>Không được đổi mong muốn của trẻ thành đề nghị cùng hành động.</x:v>
      </x:c>
      <x:c r="G6" s="64" t="str">
        <x:v>Chủ thể; loại câu</x:v>
      </x:c>
      <x:c r="H6" s="67" t="str">
        <x:v>AI trung thành</x:v>
      </x:c>
      <x:c r="I6" s="64" t="str"/>
      <x:c r="J6" s="67" t="str">
        <x:v>Chưa kiểm thử</x:v>
      </x:c>
      <x:c r="K6" s="75" t="str"/>
    </x:row>
    <x:row r="7" ht="54" customHeight="1">
      <x:c r="A7" s="74" t="str">
        <x:v>V1-003</x:v>
      </x:c>
      <x:c r="B7" s="64" t="str">
        <x:v>Chủ thể &amp; lời gọi</x:v>
      </x:c>
      <x:c r="C7" s="64" t="str">
        <x:v>Bà ơi, con nhớ bà.</x:v>
      </x:c>
      <x:c r="D7" s="64" t="str">
        <x:v>Grandma, I miss you.</x:v>
      </x:c>
      <x:c r="E7" s="64" t="str">
        <x:v>Grandma misses me.</x:v>
      </x:c>
      <x:c r="F7" s="64" t="str">
        <x:v>Không được đảo người nhớ và người được nhớ.</x:v>
      </x:c>
      <x:c r="G7" s="64" t="str">
        <x:v>Chủ thể; đối tượng</x:v>
      </x:c>
      <x:c r="H7" s="67" t="str">
        <x:v>AI trung thành</x:v>
      </x:c>
      <x:c r="I7" s="64" t="str"/>
      <x:c r="J7" s="67" t="str">
        <x:v>Chưa kiểm thử</x:v>
      </x:c>
      <x:c r="K7" s="75" t="str"/>
    </x:row>
    <x:row r="8" ht="54" customHeight="1">
      <x:c r="A8" s="74" t="str">
        <x:v>V1-004</x:v>
      </x:c>
      <x:c r="B8" s="64" t="str">
        <x:v>Chủ thể &amp; lời gọi</x:v>
      </x:c>
      <x:c r="C8" s="64" t="str">
        <x:v>Cô ơi, con không hiểu chỗ này.</x:v>
      </x:c>
      <x:c r="D8" s="64" t="str">
        <x:v>Teacher, I don't understand this part.</x:v>
      </x:c>
      <x:c r="E8" s="64" t="str">
        <x:v>Teacher, this part is difficult.</x:v>
      </x:c>
      <x:c r="F8" s="64" t="str">
        <x:v>Không được thay việc không hiểu bằng nhận xét rằng nội dung khó.</x:v>
      </x:c>
      <x:c r="G8" s="64" t="str">
        <x:v>Lời gọi; phủ định; hành động</x:v>
      </x:c>
      <x:c r="H8" s="67" t="str">
        <x:v>AI trung thành</x:v>
      </x:c>
      <x:c r="I8" s="64" t="str"/>
      <x:c r="J8" s="67" t="str">
        <x:v>Chưa kiểm thử</x:v>
      </x:c>
      <x:c r="K8" s="75" t="str"/>
    </x:row>
    <x:row r="9" ht="54" customHeight="1">
      <x:c r="A9" s="74" t="str">
        <x:v>V1-005</x:v>
      </x:c>
      <x:c r="B9" s="64" t="str">
        <x:v>Chủ thể &amp; lời gọi</x:v>
      </x:c>
      <x:c r="C9" s="64" t="str">
        <x:v>Em con lấy đồ chơi của con.</x:v>
      </x:c>
      <x:c r="D9" s="64" t="str">
        <x:v>My younger sibling took my toy.</x:v>
      </x:c>
      <x:c r="E9" s="64" t="str">
        <x:v>I took my younger sibling's toy.</x:v>
      </x:c>
      <x:c r="F9" s="64" t="str">
        <x:v>Không được đảo người thực hiện hành động và người sở hữu.</x:v>
      </x:c>
      <x:c r="G9" s="64" t="str">
        <x:v>Chủ thể; sở hữu</x:v>
      </x:c>
      <x:c r="H9" s="67" t="str">
        <x:v>AI trung thành</x:v>
      </x:c>
      <x:c r="I9" s="64" t="str"/>
      <x:c r="J9" s="67" t="str">
        <x:v>Chưa kiểm thử</x:v>
      </x:c>
      <x:c r="K9" s="75" t="str"/>
    </x:row>
    <x:row r="10" ht="54" customHeight="1">
      <x:c r="A10" s="74" t="str">
        <x:v>V1-006</x:v>
      </x:c>
      <x:c r="B10" s="64" t="str">
        <x:v>Loại câu</x:v>
      </x:c>
      <x:c r="C10" s="64" t="str">
        <x:v>Mẹ ơi, mình mua cái này được không?</x:v>
      </x:c>
      <x:c r="D10" s="64" t="str">
        <x:v>Mom, can we buy this?</x:v>
      </x:c>
      <x:c r="E10" s="64" t="str">
        <x:v>Mom, I want to buy this.</x:v>
      </x:c>
      <x:c r="F10" s="64" t="str">
        <x:v>Phải giữ đây là câu hỏi xin phép, không phải câu kể mong muốn.</x:v>
      </x:c>
      <x:c r="G10" s="64" t="str">
        <x:v>Lời gọi; loại câu</x:v>
      </x:c>
      <x:c r="H10" s="67" t="str">
        <x:v>AI trung thành</x:v>
      </x:c>
      <x:c r="I10" s="64" t="str"/>
      <x:c r="J10" s="67" t="str">
        <x:v>Chưa kiểm thử</x:v>
      </x:c>
      <x:c r="K10" s="75" t="str"/>
    </x:row>
    <x:row r="11" ht="54" customHeight="1">
      <x:c r="A11" s="74" t="str">
        <x:v>V1-007</x:v>
      </x:c>
      <x:c r="B11" s="64" t="str">
        <x:v>Loại câu</x:v>
      </x:c>
      <x:c r="C11" s="64" t="str">
        <x:v>Con thích chiếc áo màu xanh này.</x:v>
      </x:c>
      <x:c r="D11" s="64" t="str">
        <x:v>I like this blue shirt.</x:v>
      </x:c>
      <x:c r="E11" s="64" t="str">
        <x:v>Do you like this blue shirt?</x:v>
      </x:c>
      <x:c r="F11" s="64" t="str">
        <x:v>Không được đổi câu khẳng định thành câu hỏi.</x:v>
      </x:c>
      <x:c r="G11" s="64" t="str">
        <x:v>Loại câu; đối tượng</x:v>
      </x:c>
      <x:c r="H11" s="67" t="str">
        <x:v>AI trung thành</x:v>
      </x:c>
      <x:c r="I11" s="64" t="str"/>
      <x:c r="J11" s="67" t="str">
        <x:v>Chưa kiểm thử</x:v>
      </x:c>
      <x:c r="K11" s="75" t="str"/>
    </x:row>
    <x:row r="12" ht="54" customHeight="1">
      <x:c r="A12" s="74" t="str">
        <x:v>V1-008</x:v>
      </x:c>
      <x:c r="B12" s="64" t="str">
        <x:v>Loại câu</x:v>
      </x:c>
      <x:c r="C12" s="64" t="str">
        <x:v>Đây có phải sách của mẹ không?</x:v>
      </x:c>
      <x:c r="D12" s="64" t="str">
        <x:v>Is this your book, Mom?</x:v>
      </x:c>
      <x:c r="E12" s="64" t="str">
        <x:v>This is Mom's book.</x:v>
      </x:c>
      <x:c r="F12" s="64" t="str">
        <x:v>Không được đổi câu hỏi xác nhận thành câu khẳng định.</x:v>
      </x:c>
      <x:c r="G12" s="64" t="str">
        <x:v>Loại câu; sở hữu</x:v>
      </x:c>
      <x:c r="H12" s="67" t="str">
        <x:v>AI trung thành</x:v>
      </x:c>
      <x:c r="I12" s="64" t="str"/>
      <x:c r="J12" s="67" t="str">
        <x:v>Chưa kiểm thử</x:v>
      </x:c>
      <x:c r="K12" s="75" t="str"/>
    </x:row>
    <x:row r="13" ht="54" customHeight="1">
      <x:c r="A13" s="74" t="str">
        <x:v>V1-009</x:v>
      </x:c>
      <x:c r="B13" s="64" t="str">
        <x:v>Loại câu</x:v>
      </x:c>
      <x:c r="C13" s="64" t="str">
        <x:v>Hôm nay mình đi đâu vậy?</x:v>
      </x:c>
      <x:c r="D13" s="64" t="str">
        <x:v>Where are we going today?</x:v>
      </x:c>
      <x:c r="E13" s="64" t="str">
        <x:v>Let's go somewhere today.</x:v>
      </x:c>
      <x:c r="F13" s="64" t="str">
        <x:v>Không được đổi câu hỏi thông tin thành lời đề nghị.</x:v>
      </x:c>
      <x:c r="G13" s="64" t="str">
        <x:v>Loại câu; thời gian</x:v>
      </x:c>
      <x:c r="H13" s="67" t="str">
        <x:v>AI trung thành</x:v>
      </x:c>
      <x:c r="I13" s="64" t="str"/>
      <x:c r="J13" s="67" t="str">
        <x:v>Chưa kiểm thử</x:v>
      </x:c>
      <x:c r="K13" s="75" t="str"/>
    </x:row>
    <x:row r="14" ht="54" customHeight="1">
      <x:c r="A14" s="74" t="str">
        <x:v>V1-010</x:v>
      </x:c>
      <x:c r="B14" s="64" t="str">
        <x:v>Loại câu</x:v>
      </x:c>
      <x:c r="C14" s="64" t="str">
        <x:v>Con được mở hộp này không?</x:v>
      </x:c>
      <x:c r="D14" s="64" t="str">
        <x:v>May I open this box?</x:v>
      </x:c>
      <x:c r="E14" s="64" t="str">
        <x:v>I can open this box.</x:v>
      </x:c>
      <x:c r="F14" s="64" t="str">
        <x:v>Không được đổi câu xin phép thành khẳng định về khả năng.</x:v>
      </x:c>
      <x:c r="G14" s="64" t="str">
        <x:v>Loại câu; hành động</x:v>
      </x:c>
      <x:c r="H14" s="67" t="str">
        <x:v>AI trung thành</x:v>
      </x:c>
      <x:c r="I14" s="64" t="str"/>
      <x:c r="J14" s="67" t="str">
        <x:v>Chưa kiểm thử</x:v>
      </x:c>
      <x:c r="K14" s="75" t="str"/>
    </x:row>
    <x:row r="15" ht="54" customHeight="1">
      <x:c r="A15" s="74" t="str">
        <x:v>V1-011</x:v>
      </x:c>
      <x:c r="B15" s="64" t="str">
        <x:v>Phủ định &amp; sắc thái</x:v>
      </x:c>
      <x:c r="C15" s="64" t="str">
        <x:v>Con không muốn ăn món này nữa.</x:v>
      </x:c>
      <x:c r="D15" s="64" t="str">
        <x:v>I don't want to eat this dish anymore.</x:v>
      </x:c>
      <x:c r="E15" s="64" t="str">
        <x:v>I want to eat this dish.</x:v>
      </x:c>
      <x:c r="F15" s="64" t="str">
        <x:v>Phải giữ cả phủ định và ý 'nữa'.</x:v>
      </x:c>
      <x:c r="G15" s="64" t="str">
        <x:v>Phủ định; trạng thái</x:v>
      </x:c>
      <x:c r="H15" s="67" t="str">
        <x:v>AI trung thành</x:v>
      </x:c>
      <x:c r="I15" s="64" t="str"/>
      <x:c r="J15" s="67" t="str">
        <x:v>Chưa kiểm thử</x:v>
      </x:c>
      <x:c r="K15" s="75" t="str"/>
    </x:row>
    <x:row r="16" ht="54" customHeight="1">
      <x:c r="A16" s="74" t="str">
        <x:v>V1-012</x:v>
      </x:c>
      <x:c r="B16" s="64" t="str">
        <x:v>Phủ định &amp; sắc thái</x:v>
      </x:c>
      <x:c r="C16" s="64" t="str">
        <x:v>Con chưa ăn sáng.</x:v>
      </x:c>
      <x:c r="D16" s="64" t="str">
        <x:v>I haven't eaten breakfast yet.</x:v>
      </x:c>
      <x:c r="E16" s="64" t="str">
        <x:v>I didn't eat breakfast.</x:v>
      </x:c>
      <x:c r="F16" s="64" t="str">
        <x:v>Phải giữ ý 'chưa' thay vì biến thành một sự việc quá khứ đã kết thúc.</x:v>
      </x:c>
      <x:c r="G16" s="64" t="str">
        <x:v>Phủ định; thời gian</x:v>
      </x:c>
      <x:c r="H16" s="67" t="str">
        <x:v>AI trung thành</x:v>
      </x:c>
      <x:c r="I16" s="64" t="str"/>
      <x:c r="J16" s="67" t="str">
        <x:v>Chưa kiểm thử</x:v>
      </x:c>
      <x:c r="K16" s="75" t="str"/>
    </x:row>
    <x:row r="17" ht="54" customHeight="1">
      <x:c r="A17" s="74" t="str">
        <x:v>V1-013</x:v>
      </x:c>
      <x:c r="B17" s="64" t="str">
        <x:v>Phủ định &amp; sắc thái</x:v>
      </x:c>
      <x:c r="C17" s="64" t="str">
        <x:v>Đừng tắt đèn nhé bố.</x:v>
      </x:c>
      <x:c r="D17" s="64" t="str">
        <x:v>Dad, please don't turn off the light.</x:v>
      </x:c>
      <x:c r="E17" s="64" t="str">
        <x:v>Dad, please turn off the light.</x:v>
      </x:c>
      <x:c r="F17" s="64" t="str">
        <x:v>Không được làm mất từ cấm đoán 'đừng'.</x:v>
      </x:c>
      <x:c r="G17" s="64" t="str">
        <x:v>Phủ định; người nhận</x:v>
      </x:c>
      <x:c r="H17" s="67" t="str">
        <x:v>AI trung thành</x:v>
      </x:c>
      <x:c r="I17" s="64" t="str"/>
      <x:c r="J17" s="67" t="str">
        <x:v>Chưa kiểm thử</x:v>
      </x:c>
      <x:c r="K17" s="75" t="str"/>
    </x:row>
    <x:row r="18" ht="54" customHeight="1">
      <x:c r="A18" s="74" t="str">
        <x:v>V1-014</x:v>
      </x:c>
      <x:c r="B18" s="64" t="str">
        <x:v>Phủ định &amp; sắc thái</x:v>
      </x:c>
      <x:c r="C18" s="64" t="str">
        <x:v>Con không làm vỡ cái cốc.</x:v>
      </x:c>
      <x:c r="D18" s="64" t="str">
        <x:v>I didn't break the glass.</x:v>
      </x:c>
      <x:c r="E18" s="64" t="str">
        <x:v>I broke the glass.</x:v>
      </x:c>
      <x:c r="F18" s="64" t="str">
        <x:v>Không được làm mất phủ định và quy trách nhiệm sai cho trẻ.</x:v>
      </x:c>
      <x:c r="G18" s="64" t="str">
        <x:v>Phủ định; chủ thể</x:v>
      </x:c>
      <x:c r="H18" s="67" t="str">
        <x:v>AI trung thành</x:v>
      </x:c>
      <x:c r="I18" s="64" t="str"/>
      <x:c r="J18" s="67" t="str">
        <x:v>Chưa kiểm thử</x:v>
      </x:c>
      <x:c r="K18" s="75" t="str"/>
    </x:row>
    <x:row r="19" ht="54" customHeight="1">
      <x:c r="A19" s="74" t="str">
        <x:v>V1-015</x:v>
      </x:c>
      <x:c r="B19" s="64" t="str">
        <x:v>Phủ định &amp; sắc thái</x:v>
      </x:c>
      <x:c r="C19" s="64" t="str">
        <x:v>Không phải cái này, là cái kia.</x:v>
      </x:c>
      <x:c r="D19" s="64" t="str">
        <x:v>Not this one, that one.</x:v>
      </x:c>
      <x:c r="E19" s="64" t="str">
        <x:v>This one is fine.</x:v>
      </x:c>
      <x:c r="F19" s="64" t="str">
        <x:v>Phải giữ sự đối lập giữa 'cái này' và 'cái kia'.</x:v>
      </x:c>
      <x:c r="G19" s="64" t="str">
        <x:v>Phủ định; đối tượng</x:v>
      </x:c>
      <x:c r="H19" s="67" t="str">
        <x:v>AI trung thành</x:v>
      </x:c>
      <x:c r="I19" s="64" t="str"/>
      <x:c r="J19" s="67" t="str">
        <x:v>Chưa kiểm thử</x:v>
      </x:c>
      <x:c r="K19" s="75" t="str"/>
    </x:row>
    <x:row r="20" ht="54" customHeight="1">
      <x:c r="A20" s="74" t="str">
        <x:v>V1-016</x:v>
      </x:c>
      <x:c r="B20" s="64" t="str">
        <x:v>Yêu cầu &amp; xin phép</x:v>
      </x:c>
      <x:c r="C20" s="64" t="str">
        <x:v>Mẹ mở cửa giúp con với.</x:v>
      </x:c>
      <x:c r="D20" s="64" t="str">
        <x:v>Mom, please open the door for me.</x:v>
      </x:c>
      <x:c r="E20" s="64" t="str">
        <x:v>Mom, the door is open.</x:v>
      </x:c>
      <x:c r="F20" s="64" t="str">
        <x:v>Không được đổi lời nhờ vả thành mô tả trạng thái.</x:v>
      </x:c>
      <x:c r="G20" s="64" t="str">
        <x:v>Loại câu; người thực hiện</x:v>
      </x:c>
      <x:c r="H20" s="67" t="str">
        <x:v>AI trung thành</x:v>
      </x:c>
      <x:c r="I20" s="64" t="str"/>
      <x:c r="J20" s="67" t="str">
        <x:v>Chưa kiểm thử</x:v>
      </x:c>
      <x:c r="K20" s="75" t="str"/>
    </x:row>
    <x:row r="21" ht="54" customHeight="1">
      <x:c r="A21" s="74" t="str">
        <x:v>V1-017</x:v>
      </x:c>
      <x:c r="B21" s="64" t="str">
        <x:v>Yêu cầu &amp; xin phép</x:v>
      </x:c>
      <x:c r="C21" s="64" t="str">
        <x:v>Con ra ngoài chơi được không ạ?</x:v>
      </x:c>
      <x:c r="D21" s="64" t="str">
        <x:v>May I go outside to play?</x:v>
      </x:c>
      <x:c r="E21" s="64" t="str">
        <x:v>I am going outside to play.</x:v>
      </x:c>
      <x:c r="F21" s="64" t="str">
        <x:v>Không được đổi câu xin phép thành thông báo hành động.</x:v>
      </x:c>
      <x:c r="G21" s="64" t="str">
        <x:v>Loại câu; hành động</x:v>
      </x:c>
      <x:c r="H21" s="67" t="str">
        <x:v>AI trung thành</x:v>
      </x:c>
      <x:c r="I21" s="64" t="str"/>
      <x:c r="J21" s="67" t="str">
        <x:v>Chưa kiểm thử</x:v>
      </x:c>
      <x:c r="K21" s="75" t="str"/>
    </x:row>
    <x:row r="22" ht="54" customHeight="1">
      <x:c r="A22" s="74" t="str">
        <x:v>V1-018</x:v>
      </x:c>
      <x:c r="B22" s="64" t="str">
        <x:v>Yêu cầu &amp; xin phép</x:v>
      </x:c>
      <x:c r="C22" s="64" t="str">
        <x:v>Chờ con một chút nhé.</x:v>
      </x:c>
      <x:c r="D22" s="64" t="str">
        <x:v>Please wait for me for a moment.</x:v>
      </x:c>
      <x:c r="E22" s="64" t="str">
        <x:v>I will wait for you.</x:v>
      </x:c>
      <x:c r="F22" s="64" t="str">
        <x:v>Không được đảo người chờ và người được chờ.</x:v>
      </x:c>
      <x:c r="G22" s="64" t="str">
        <x:v>Chủ thể; người nhận</x:v>
      </x:c>
      <x:c r="H22" s="67" t="str">
        <x:v>AI trung thành</x:v>
      </x:c>
      <x:c r="I22" s="64" t="str"/>
      <x:c r="J22" s="67" t="str">
        <x:v>Chưa kiểm thử</x:v>
      </x:c>
      <x:c r="K22" s="75" t="str"/>
    </x:row>
    <x:row r="23" ht="54" customHeight="1">
      <x:c r="A23" s="74" t="str">
        <x:v>V1-019</x:v>
      </x:c>
      <x:c r="B23" s="64" t="str">
        <x:v>Yêu cầu &amp; xin phép</x:v>
      </x:c>
      <x:c r="C23" s="64" t="str">
        <x:v>Bố giúp con mang giày được không?</x:v>
      </x:c>
      <x:c r="D23" s="64" t="str">
        <x:v>Dad, can you help me put on my shoes?</x:v>
      </x:c>
      <x:c r="E23" s="64" t="str">
        <x:v>Dad, can I put on your shoes?</x:v>
      </x:c>
      <x:c r="F23" s="64" t="str">
        <x:v>Không được đảo người giúp, người nhận giúp và sở hữu đôi giày.</x:v>
      </x:c>
      <x:c r="G23" s="64" t="str">
        <x:v>Chủ thể; sở hữu; loại câu</x:v>
      </x:c>
      <x:c r="H23" s="67" t="str">
        <x:v>AI trung thành</x:v>
      </x:c>
      <x:c r="I23" s="64" t="str"/>
      <x:c r="J23" s="67" t="str">
        <x:v>Chưa kiểm thử</x:v>
      </x:c>
      <x:c r="K23" s="75" t="str"/>
    </x:row>
    <x:row r="24" ht="54" customHeight="1">
      <x:c r="A24" s="74" t="str">
        <x:v>V1-020</x:v>
      </x:c>
      <x:c r="B24" s="64" t="str">
        <x:v>Yêu cầu &amp; xin phép</x:v>
      </x:c>
      <x:c r="C24" s="64" t="str">
        <x:v>Cho con cầm cái đó với.</x:v>
      </x:c>
      <x:c r="D24" s="64" t="str">
        <x:v>Please let me hold that.</x:v>
      </x:c>
      <x:c r="E24" s="64" t="str">
        <x:v>Give me that.</x:v>
      </x:c>
      <x:c r="F24" s="64" t="str">
        <x:v>Phải giữ ý xin được cầm, không tăng mức độ thành mệnh lệnh đòi đưa đồ.</x:v>
      </x:c>
      <x:c r="G24" s="64" t="str">
        <x:v>Loại câu; hành động</x:v>
      </x:c>
      <x:c r="H24" s="67" t="str">
        <x:v>AI trung thành</x:v>
      </x:c>
      <x:c r="I24" s="64" t="str"/>
      <x:c r="J24" s="67" t="str">
        <x:v>Chưa kiểm thử</x:v>
      </x:c>
      <x:c r="K24" s="75" t="str"/>
    </x:row>
    <x:row r="25" ht="54" customHeight="1">
      <x:c r="A25" s="74" t="str">
        <x:v>V1-021</x:v>
      </x:c>
      <x:c r="B25" s="64" t="str">
        <x:v>Thời gian &amp; trạng thái</x:v>
      </x:c>
      <x:c r="C25" s="64" t="str">
        <x:v>Hôm qua con quên sách ở trường.</x:v>
      </x:c>
      <x:c r="D25" s="64" t="str">
        <x:v>I left my book at school yesterday.</x:v>
      </x:c>
      <x:c r="E25" s="64" t="str">
        <x:v>I forgot my book today.</x:v>
      </x:c>
      <x:c r="F25" s="64" t="str">
        <x:v>Phải giữ thời điểm hôm qua và địa điểm ở trường.</x:v>
      </x:c>
      <x:c r="G25" s="64" t="str">
        <x:v>Thời gian; địa điểm</x:v>
      </x:c>
      <x:c r="H25" s="67" t="str">
        <x:v>AI trung thành</x:v>
      </x:c>
      <x:c r="I25" s="64" t="str"/>
      <x:c r="J25" s="67" t="str">
        <x:v>Chưa kiểm thử</x:v>
      </x:c>
      <x:c r="K25" s="75" t="str"/>
    </x:row>
    <x:row r="26" ht="54" customHeight="1">
      <x:c r="A26" s="74" t="str">
        <x:v>V1-022</x:v>
      </x:c>
      <x:c r="B26" s="64" t="str">
        <x:v>Thời gian &amp; trạng thái</x:v>
      </x:c>
      <x:c r="C26" s="64" t="str">
        <x:v>Ngày mai con sẽ sang nhà bà.</x:v>
      </x:c>
      <x:c r="D26" s="64" t="str">
        <x:v>I will go to Grandma's house tomorrow.</x:v>
      </x:c>
      <x:c r="E26" s="64" t="str">
        <x:v>I went to Grandma's house yesterday.</x:v>
      </x:c>
      <x:c r="F26" s="64" t="str">
        <x:v>Không được đổi tương lai thành quá khứ.</x:v>
      </x:c>
      <x:c r="G26" s="64" t="str">
        <x:v>Thời gian; địa điểm</x:v>
      </x:c>
      <x:c r="H26" s="67" t="str">
        <x:v>AI trung thành</x:v>
      </x:c>
      <x:c r="I26" s="64" t="str"/>
      <x:c r="J26" s="67" t="str">
        <x:v>Chưa kiểm thử</x:v>
      </x:c>
      <x:c r="K26" s="75" t="str"/>
    </x:row>
    <x:row r="27" ht="54" customHeight="1">
      <x:c r="A27" s="74" t="str">
        <x:v>V1-023</x:v>
      </x:c>
      <x:c r="B27" s="64" t="str">
        <x:v>Thời gian &amp; trạng thái</x:v>
      </x:c>
      <x:c r="C27" s="64" t="str">
        <x:v>Con đang làm bài tập.</x:v>
      </x:c>
      <x:c r="D27" s="64" t="str">
        <x:v>I am doing my homework.</x:v>
      </x:c>
      <x:c r="E27" s="64" t="str">
        <x:v>I finished my homework.</x:v>
      </x:c>
      <x:c r="F27" s="64" t="str">
        <x:v>Phải giữ hành động đang diễn ra.</x:v>
      </x:c>
      <x:c r="G27" s="64" t="str">
        <x:v>Trạng thái hành động</x:v>
      </x:c>
      <x:c r="H27" s="67" t="str">
        <x:v>AI trung thành</x:v>
      </x:c>
      <x:c r="I27" s="64" t="str"/>
      <x:c r="J27" s="67" t="str">
        <x:v>Chưa kiểm thử</x:v>
      </x:c>
      <x:c r="K27" s="75" t="str"/>
    </x:row>
    <x:row r="28" ht="54" customHeight="1">
      <x:c r="A28" s="74" t="str">
        <x:v>V1-024</x:v>
      </x:c>
      <x:c r="B28" s="64" t="str">
        <x:v>Thời gian &amp; trạng thái</x:v>
      </x:c>
      <x:c r="C28" s="64" t="str">
        <x:v>Con làm bài tập xong rồi.</x:v>
      </x:c>
      <x:c r="D28" s="64" t="str">
        <x:v>I have finished my homework.</x:v>
      </x:c>
      <x:c r="E28" s="64" t="str">
        <x:v>I am doing my homework.</x:v>
      </x:c>
      <x:c r="F28" s="64" t="str">
        <x:v>Phải giữ trạng thái đã hoàn thành.</x:v>
      </x:c>
      <x:c r="G28" s="64" t="str">
        <x:v>Trạng thái hành động</x:v>
      </x:c>
      <x:c r="H28" s="67" t="str">
        <x:v>AI trung thành</x:v>
      </x:c>
      <x:c r="I28" s="64" t="str"/>
      <x:c r="J28" s="67" t="str">
        <x:v>Chưa kiểm thử</x:v>
      </x:c>
      <x:c r="K28" s="75" t="str"/>
    </x:row>
    <x:row r="29" ht="54" customHeight="1">
      <x:c r="A29" s="74" t="str">
        <x:v>V1-025</x:v>
      </x:c>
      <x:c r="B29" s="64" t="str">
        <x:v>Thời gian &amp; trạng thái</x:v>
      </x:c>
      <x:c r="C29" s="64" t="str">
        <x:v>Mẹ chờ con năm phút nhé.</x:v>
      </x:c>
      <x:c r="D29" s="64" t="str">
        <x:v>Mom, please wait for me for five minutes.</x:v>
      </x:c>
      <x:c r="E29" s="64" t="str">
        <x:v>Mom, please wait for a moment.</x:v>
      </x:c>
      <x:c r="F29" s="64" t="str">
        <x:v>Không được làm mất thời lượng năm phút.</x:v>
      </x:c>
      <x:c r="G29" s="64" t="str">
        <x:v>Thời gian; số lượng</x:v>
      </x:c>
      <x:c r="H29" s="67" t="str">
        <x:v>AI trung thành</x:v>
      </x:c>
      <x:c r="I29" s="64" t="str"/>
      <x:c r="J29" s="67" t="str">
        <x:v>Chưa kiểm thử</x:v>
      </x:c>
      <x:c r="K29" s="75" t="str"/>
    </x:row>
    <x:row r="30" ht="54" customHeight="1">
      <x:c r="A30" s="74" t="str">
        <x:v>V1-026</x:v>
      </x:c>
      <x:c r="B30" s="64" t="str">
        <x:v>Số lượng &amp; sở hữu</x:v>
      </x:c>
      <x:c r="C30" s="64" t="str">
        <x:v>Con muốn hai cái bánh.</x:v>
      </x:c>
      <x:c r="D30" s="64" t="str">
        <x:v>I want two cakes.</x:v>
      </x:c>
      <x:c r="E30" s="64" t="str">
        <x:v>I want a cake.</x:v>
      </x:c>
      <x:c r="F30" s="64" t="str">
        <x:v>Phải giữ đúng số lượng hai.</x:v>
      </x:c>
      <x:c r="G30" s="64" t="str">
        <x:v>Số lượng</x:v>
      </x:c>
      <x:c r="H30" s="67" t="str">
        <x:v>AI trung thành</x:v>
      </x:c>
      <x:c r="I30" s="64" t="str"/>
      <x:c r="J30" s="67" t="str">
        <x:v>Chưa kiểm thử</x:v>
      </x:c>
      <x:c r="K30" s="75" t="str"/>
    </x:row>
    <x:row r="31" ht="54" customHeight="1">
      <x:c r="A31" s="74" t="str">
        <x:v>V1-027</x:v>
      </x:c>
      <x:c r="B31" s="64" t="str">
        <x:v>Số lượng &amp; sở hữu</x:v>
      </x:c>
      <x:c r="C31" s="64" t="str">
        <x:v>Có ba bạn đang chờ con ở cổng.</x:v>
      </x:c>
      <x:c r="D31" s="64" t="str">
        <x:v>Three friends are waiting for me at the gate.</x:v>
      </x:c>
      <x:c r="E31" s="64" t="str">
        <x:v>A friend is waiting for me outside.</x:v>
      </x:c>
      <x:c r="F31" s="64" t="str">
        <x:v>Phải giữ số lượng, người đang chờ và địa điểm.</x:v>
      </x:c>
      <x:c r="G31" s="64" t="str">
        <x:v>Số lượng; địa điểm</x:v>
      </x:c>
      <x:c r="H31" s="67" t="str">
        <x:v>AI trung thành</x:v>
      </x:c>
      <x:c r="I31" s="64" t="str"/>
      <x:c r="J31" s="67" t="str">
        <x:v>Chưa kiểm thử</x:v>
      </x:c>
      <x:c r="K31" s="75" t="str"/>
    </x:row>
    <x:row r="32" ht="54" customHeight="1">
      <x:c r="A32" s="74" t="str">
        <x:v>V1-028</x:v>
      </x:c>
      <x:c r="B32" s="64" t="str">
        <x:v>Số lượng &amp; sở hữu</x:v>
      </x:c>
      <x:c r="C32" s="64" t="str">
        <x:v>Cái ba lô màu đỏ là của con.</x:v>
      </x:c>
      <x:c r="D32" s="64" t="str">
        <x:v>The red backpack is mine.</x:v>
      </x:c>
      <x:c r="E32" s="64" t="str">
        <x:v>The red backpack is yours.</x:v>
      </x:c>
      <x:c r="F32" s="64" t="str">
        <x:v>Không được đổi người sở hữu.</x:v>
      </x:c>
      <x:c r="G32" s="64" t="str">
        <x:v>Sở hữu; màu sắc</x:v>
      </x:c>
      <x:c r="H32" s="67" t="str">
        <x:v>AI trung thành</x:v>
      </x:c>
      <x:c r="I32" s="64" t="str"/>
      <x:c r="J32" s="67" t="str">
        <x:v>Chưa kiểm thử</x:v>
      </x:c>
      <x:c r="K32" s="75" t="str"/>
    </x:row>
    <x:row r="33" ht="54" customHeight="1">
      <x:c r="A33" s="74" t="str">
        <x:v>V1-029</x:v>
      </x:c>
      <x:c r="B33" s="64" t="str">
        <x:v>Số lượng &amp; sở hữu</x:v>
      </x:c>
      <x:c r="C33" s="64" t="str">
        <x:v>Một cái cho con và một cái cho em gái.</x:v>
      </x:c>
      <x:c r="D33" s="64" t="str">
        <x:v>One for me and one for my little sister.</x:v>
      </x:c>
      <x:c r="E33" s="64" t="str">
        <x:v>Two for me.</x:v>
      </x:c>
      <x:c r="F33" s="64" t="str">
        <x:v>Phải giữ cách phân chia và người nhận.</x:v>
      </x:c>
      <x:c r="G33" s="64" t="str">
        <x:v>Số lượng; người nhận</x:v>
      </x:c>
      <x:c r="H33" s="67" t="str">
        <x:v>AI trung thành</x:v>
      </x:c>
      <x:c r="I33" s="64" t="str"/>
      <x:c r="J33" s="67" t="str">
        <x:v>Chưa kiểm thử</x:v>
      </x:c>
      <x:c r="K33" s="75" t="str"/>
    </x:row>
    <x:row r="34" ht="54" customHeight="1">
      <x:c r="A34" s="74" t="str">
        <x:v>V1-030</x:v>
      </x:c>
      <x:c r="B34" s="64" t="str">
        <x:v>Số lượng &amp; sở hữu</x:v>
      </x:c>
      <x:c r="C34" s="64" t="str">
        <x:v>Điện thoại của bố ở trên bàn.</x:v>
      </x:c>
      <x:c r="D34" s="64" t="str">
        <x:v>Dad's phone is on the table.</x:v>
      </x:c>
      <x:c r="E34" s="64" t="str">
        <x:v>My phone is on the table.</x:v>
      </x:c>
      <x:c r="F34" s="64" t="str">
        <x:v>Không được đổi người sở hữu đồ vật.</x:v>
      </x:c>
      <x:c r="G34" s="64" t="str">
        <x:v>Sở hữu; địa điểm</x:v>
      </x:c>
      <x:c r="H34" s="67" t="str">
        <x:v>AI trung thành</x:v>
      </x:c>
      <x:c r="I34" s="64" t="str"/>
      <x:c r="J34" s="67" t="str">
        <x:v>Chưa kiểm thử</x:v>
      </x:c>
      <x:c r="K34" s="75" t="str"/>
    </x:row>
    <x:row r="35" ht="54" customHeight="1">
      <x:c r="A35" s="74" t="str">
        <x:v>V1-031</x:v>
      </x:c>
      <x:c r="B35" s="64" t="str">
        <x:v>Hành động &amp; địa điểm</x:v>
      </x:c>
      <x:c r="C35" s="64" t="str">
        <x:v>Mẹ đang ở trong bếp.</x:v>
      </x:c>
      <x:c r="D35" s="64" t="str">
        <x:v>Mom is in the kitchen.</x:v>
      </x:c>
      <x:c r="E35" s="64" t="str">
        <x:v>Mom is cooking.</x:v>
      </x:c>
      <x:c r="F35" s="64" t="str">
        <x:v>Không được suy luận mẹ đang nấu ăn chỉ vì mẹ ở trong bếp.</x:v>
      </x:c>
      <x:c r="G35" s="64" t="str">
        <x:v>Địa điểm; không suy diễn</x:v>
      </x:c>
      <x:c r="H35" s="67" t="str">
        <x:v>AI trung thành</x:v>
      </x:c>
      <x:c r="I35" s="64" t="str"/>
      <x:c r="J35" s="67" t="str">
        <x:v>Chưa kiểm thử</x:v>
      </x:c>
      <x:c r="K35" s="75" t="str"/>
    </x:row>
    <x:row r="36" ht="54" customHeight="1">
      <x:c r="A36" s="74" t="str">
        <x:v>V1-032</x:v>
      </x:c>
      <x:c r="B36" s="64" t="str">
        <x:v>Hành động &amp; địa điểm</x:v>
      </x:c>
      <x:c r="C36" s="64" t="str">
        <x:v>Con mèo nằm dưới gầm bàn.</x:v>
      </x:c>
      <x:c r="D36" s="64" t="str">
        <x:v>The cat is under the table.</x:v>
      </x:c>
      <x:c r="E36" s="64" t="str">
        <x:v>The cat is on the table.</x:v>
      </x:c>
      <x:c r="F36" s="64" t="str">
        <x:v>Phải giữ đúng vị trí dưới bàn.</x:v>
      </x:c>
      <x:c r="G36" s="64" t="str">
        <x:v>Địa điểm</x:v>
      </x:c>
      <x:c r="H36" s="67" t="str">
        <x:v>AI trung thành</x:v>
      </x:c>
      <x:c r="I36" s="64" t="str"/>
      <x:c r="J36" s="67" t="str">
        <x:v>Chưa kiểm thử</x:v>
      </x:c>
      <x:c r="K36" s="75" t="str"/>
    </x:row>
    <x:row r="37" ht="54" customHeight="1">
      <x:c r="A37" s="74" t="str">
        <x:v>V1-033</x:v>
      </x:c>
      <x:c r="B37" s="64" t="str">
        <x:v>Hành động &amp; địa điểm</x:v>
      </x:c>
      <x:c r="C37" s="64" t="str">
        <x:v>Con đi xe đạp đến công viên.</x:v>
      </x:c>
      <x:c r="D37" s="64" t="str">
        <x:v>I ride my bike to the park.</x:v>
      </x:c>
      <x:c r="E37" s="64" t="str">
        <x:v>I walk to the park.</x:v>
      </x:c>
      <x:c r="F37" s="64" t="str">
        <x:v>Phải giữ phương tiện di chuyển.</x:v>
      </x:c>
      <x:c r="G37" s="64" t="str">
        <x:v>Hành động; phương tiện</x:v>
      </x:c>
      <x:c r="H37" s="67" t="str">
        <x:v>AI trung thành</x:v>
      </x:c>
      <x:c r="I37" s="64" t="str"/>
      <x:c r="J37" s="67" t="str">
        <x:v>Chưa kiểm thử</x:v>
      </x:c>
      <x:c r="K37" s="75" t="str"/>
    </x:row>
    <x:row r="38" ht="54" customHeight="1">
      <x:c r="A38" s="74" t="str">
        <x:v>V1-034</x:v>
      </x:c>
      <x:c r="B38" s="64" t="str">
        <x:v>Hành động &amp; địa điểm</x:v>
      </x:c>
      <x:c r="C38" s="64" t="str">
        <x:v>Mang quyển sách này vào lớp giúp con với.</x:v>
      </x:c>
      <x:c r="D38" s="64" t="str">
        <x:v>Please bring this book into the classroom for me.</x:v>
      </x:c>
      <x:c r="E38" s="64" t="str">
        <x:v>Please take this book home.</x:v>
      </x:c>
      <x:c r="F38" s="64" t="str">
        <x:v>Phải giữ vật, hướng di chuyển và địa điểm.</x:v>
      </x:c>
      <x:c r="G38" s="64" t="str">
        <x:v>Hành động; địa điểm; đối tượng</x:v>
      </x:c>
      <x:c r="H38" s="67" t="str">
        <x:v>AI trung thành</x:v>
      </x:c>
      <x:c r="I38" s="64" t="str"/>
      <x:c r="J38" s="67" t="str">
        <x:v>Chưa kiểm thử</x:v>
      </x:c>
      <x:c r="K38" s="75" t="str"/>
    </x:row>
    <x:row r="39" ht="54" customHeight="1">
      <x:c r="A39" s="74" t="str">
        <x:v>V1-035</x:v>
      </x:c>
      <x:c r="B39" s="64" t="str">
        <x:v>Hành động &amp; địa điểm</x:v>
      </x:c>
      <x:c r="C39" s="64" t="str">
        <x:v>Ngoài trời đang mưa nên con không muốn ra ngoài.</x:v>
      </x:c>
      <x:c r="D39" s="64" t="str">
        <x:v>It is raining outside, so I don't want to go out.</x:v>
      </x:c>
      <x:c r="E39" s="64" t="str">
        <x:v>It is raining, so we can't go out.</x:v>
      </x:c>
      <x:c r="F39" s="64" t="str">
        <x:v>Không được đổi mong muốn của trẻ thành kết luận về khả năng của cả nhóm.</x:v>
      </x:c>
      <x:c r="G39" s="64" t="str">
        <x:v>Chủ thể; phủ định; nguyên nhân</x:v>
      </x:c>
      <x:c r="H39" s="67" t="str">
        <x:v>AI trung thành</x:v>
      </x:c>
      <x:c r="I39" s="64" t="str"/>
      <x:c r="J39" s="67" t="str">
        <x:v>Chưa kiểm thử</x:v>
      </x:c>
      <x:c r="K39" s="75" t="str"/>
    </x:row>
    <x:row r="40" ht="54" customHeight="1">
      <x:c r="A40" s="74" t="str">
        <x:v>V1-036</x:v>
      </x:c>
      <x:c r="B40" s="64" t="str">
        <x:v>Câu chưa hoàn chỉnh</x:v>
      </x:c>
      <x:c r="C40" s="64" t="str">
        <x:v>Mẹ ơi, cái này...</x:v>
      </x:c>
      <x:c r="D40" s="64" t="str">
        <x:v>Mom, this...</x:v>
      </x:c>
      <x:c r="E40" s="64" t="str">
        <x:v>Mom, I want this.</x:v>
      </x:c>
      <x:c r="F40" s="64" t="str">
        <x:v>Không được tự thêm mong muốn chưa được trẻ nói ra.</x:v>
      </x:c>
      <x:c r="G40" s="64" t="str">
        <x:v>Không suy diễn; lời gọi</x:v>
      </x:c>
      <x:c r="H40" s="67" t="str">
        <x:v>AI trung thành</x:v>
      </x:c>
      <x:c r="I40" s="64" t="str"/>
      <x:c r="J40" s="67" t="str">
        <x:v>Chưa kiểm thử</x:v>
      </x:c>
      <x:c r="K40" s="75" t="str"/>
    </x:row>
    <x:row r="41" ht="54" customHeight="1">
      <x:c r="A41" s="74" t="str">
        <x:v>V1-037</x:v>
      </x:c>
      <x:c r="B41" s="64" t="str">
        <x:v>Câu chưa hoàn chỉnh</x:v>
      </x:c>
      <x:c r="C41" s="64" t="str">
        <x:v>Con muốn...</x:v>
      </x:c>
      <x:c r="D41" s="64" t="str">
        <x:v>I want...</x:v>
      </x:c>
      <x:c r="E41" s="64" t="str">
        <x:v>I want some water.</x:v>
      </x:c>
      <x:c r="F41" s="64" t="str">
        <x:v>Không được tự thêm đối tượng của mong muốn.</x:v>
      </x:c>
      <x:c r="G41" s="64" t="str">
        <x:v>Không suy diễn; chủ thể</x:v>
      </x:c>
      <x:c r="H41" s="67" t="str">
        <x:v>AI trung thành</x:v>
      </x:c>
      <x:c r="I41" s="64" t="str"/>
      <x:c r="J41" s="67" t="str">
        <x:v>Chưa kiểm thử</x:v>
      </x:c>
      <x:c r="K41" s="75" t="str"/>
    </x:row>
    <x:row r="42" ht="54" customHeight="1">
      <x:c r="A42" s="74" t="str">
        <x:v>V1-038</x:v>
      </x:c>
      <x:c r="B42" s="64" t="str">
        <x:v>Câu chưa hoàn chỉnh</x:v>
      </x:c>
      <x:c r="C42" s="64" t="str">
        <x:v>Bố ơi, con không...</x:v>
      </x:c>
      <x:c r="D42" s="64" t="str">
        <x:v>Dad, I don't...</x:v>
      </x:c>
      <x:c r="E42" s="64" t="str">
        <x:v>Dad, I don't want to go.</x:v>
      </x:c>
      <x:c r="F42" s="64" t="str">
        <x:v>Không được tự hoàn thành nội dung phủ định.</x:v>
      </x:c>
      <x:c r="G42" s="64" t="str">
        <x:v>Không suy diễn; phủ định</x:v>
      </x:c>
      <x:c r="H42" s="67" t="str">
        <x:v>AI trung thành</x:v>
      </x:c>
      <x:c r="I42" s="64" t="str"/>
      <x:c r="J42" s="67" t="str">
        <x:v>Chưa kiểm thử</x:v>
      </x:c>
      <x:c r="K42" s="75" t="str"/>
    </x:row>
    <x:row r="43" ht="54" customHeight="1">
      <x:c r="A43" s="74" t="str">
        <x:v>V1-039</x:v>
      </x:c>
      <x:c r="B43" s="64" t="str">
        <x:v>Câu chưa hoàn chỉnh</x:v>
      </x:c>
      <x:c r="C43" s="64" t="str">
        <x:v>Cái đó là của...</x:v>
      </x:c>
      <x:c r="D43" s="64" t="str">
        <x:v>That belongs to...</x:v>
      </x:c>
      <x:c r="E43" s="64" t="str">
        <x:v>That belongs to me.</x:v>
      </x:c>
      <x:c r="F43" s="64" t="str">
        <x:v>Không được tự xác định người sở hữu khi câu chưa nói xong.</x:v>
      </x:c>
      <x:c r="G43" s="64" t="str">
        <x:v>Không suy diễn; sở hữu</x:v>
      </x:c>
      <x:c r="H43" s="67" t="str">
        <x:v>AI trung thành</x:v>
      </x:c>
      <x:c r="I43" s="64" t="str"/>
      <x:c r="J43" s="67" t="str">
        <x:v>Chưa kiểm thử</x:v>
      </x:c>
      <x:c r="K43" s="75" t="str"/>
    </x:row>
    <x:row r="44" ht="54" customHeight="1">
      <x:c r="A44" s="74" t="str">
        <x:v>V1-040</x:v>
      </x:c>
      <x:c r="B44" s="64" t="str">
        <x:v>Câu chưa hoàn chỉnh</x:v>
      </x:c>
      <x:c r="C44" s="64" t="str">
        <x:v>Ở đằng kia có một...</x:v>
      </x:c>
      <x:c r="D44" s="64" t="str">
        <x:v>Over there, there is a...</x:v>
      </x:c>
      <x:c r="E44" s="64" t="str">
        <x:v>There is a dog over there.</x:v>
      </x:c>
      <x:c r="F44" s="64" t="str">
        <x:v>Không được tự thêm sự vật chưa được trẻ nói ra.</x:v>
      </x:c>
      <x:c r="G44" s="64" t="str">
        <x:v>Không suy diễn; địa điểm</x:v>
      </x:c>
      <x:c r="H44" s="67" t="str">
        <x:v>AI trung thành</x:v>
      </x:c>
      <x:c r="I44" s="64" t="str"/>
      <x:c r="J44" s="67" t="str">
        <x:v>Chưa kiểm thử</x:v>
      </x:c>
      <x:c r="K44" s="75" t="str"/>
    </x:row>
    <x:row r="45" ht="54" customHeight="1">
      <x:c r="A45" s="74" t="str">
        <x:v>V1-041</x:v>
      </x:c>
      <x:c r="B45" s="64" t="str">
        <x:v>Khẩu ngữ &amp; vùng miền</x:v>
      </x:c>
      <x:c r="C45" s="64" t="str">
        <x:v>Má ơi, con khát nước quá.</x:v>
      </x:c>
      <x:c r="D45" s="64" t="str">
        <x:v>Mom, I'm so thirsty.</x:v>
      </x:c>
      <x:c r="E45" s="64" t="str">
        <x:v>Mom, can I have some water?</x:v>
      </x:c>
      <x:c r="F45" s="64" t="str">
        <x:v>Hiểu 'má' là mẹ nhưng không đổi trạng thái khát thành câu xin nước.</x:v>
      </x:c>
      <x:c r="G45" s="64" t="str">
        <x:v>Vùng miền; loại câu</x:v>
      </x:c>
      <x:c r="H45" s="67" t="str">
        <x:v>AI trung thành</x:v>
      </x:c>
      <x:c r="I45" s="64" t="str"/>
      <x:c r="J45" s="67" t="str">
        <x:v>Chưa kiểm thử</x:v>
      </x:c>
      <x:c r="K45" s="75" t="str"/>
    </x:row>
    <x:row r="46" ht="54" customHeight="1">
      <x:c r="A46" s="74" t="str">
        <x:v>V1-042</x:v>
      </x:c>
      <x:c r="B46" s="64" t="str">
        <x:v>Khẩu ngữ &amp; vùng miền</x:v>
      </x:c>
      <x:c r="C46" s="64" t="str">
        <x:v>Ba ơi, chở con đi học nha.</x:v>
      </x:c>
      <x:c r="D46" s="64" t="str">
        <x:v>Dad, please take me to school.</x:v>
      </x:c>
      <x:c r="E46" s="64" t="str">
        <x:v>Dad, let's go to school.</x:v>
      </x:c>
      <x:c r="F46" s="64" t="str">
        <x:v>Hiểu 'ba', 'nha' và giữ bố là người chở trẻ.</x:v>
      </x:c>
      <x:c r="G46" s="64" t="str">
        <x:v>Vùng miền; chủ thể</x:v>
      </x:c>
      <x:c r="H46" s="67" t="str">
        <x:v>AI trung thành</x:v>
      </x:c>
      <x:c r="I46" s="64" t="str"/>
      <x:c r="J46" s="67" t="str">
        <x:v>Chưa kiểm thử</x:v>
      </x:c>
      <x:c r="K46" s="75" t="str"/>
    </x:row>
    <x:row r="47" ht="54" customHeight="1">
      <x:c r="A47" s="74" t="str">
        <x:v>V1-043</x:v>
      </x:c>
      <x:c r="B47" s="64" t="str">
        <x:v>Khẩu ngữ &amp; vùng miền</x:v>
      </x:c>
      <x:c r="C47" s="64" t="str">
        <x:v>Con hổng có lấy đồ chơi của em.</x:v>
      </x:c>
      <x:c r="D47" s="64" t="str">
        <x:v>I didn't take my younger sibling's toy.</x:v>
      </x:c>
      <x:c r="E47" s="64" t="str">
        <x:v>I took my younger sibling's toy.</x:v>
      </x:c>
      <x:c r="F47" s="64" t="str">
        <x:v>Hiểu 'hổng có' là phủ định và không làm mất sở hữu.</x:v>
      </x:c>
      <x:c r="G47" s="64" t="str">
        <x:v>Vùng miền; phủ định; sở hữu</x:v>
      </x:c>
      <x:c r="H47" s="67" t="str">
        <x:v>AI trung thành</x:v>
      </x:c>
      <x:c r="I47" s="64" t="str"/>
      <x:c r="J47" s="67" t="str">
        <x:v>Chưa kiểm thử</x:v>
      </x:c>
      <x:c r="K47" s="75" t="str"/>
    </x:row>
    <x:row r="48" ht="54" customHeight="1">
      <x:c r="A48" s="74" t="str">
        <x:v>V1-044</x:v>
      </x:c>
      <x:c r="B48" s="64" t="str">
        <x:v>Khẩu ngữ &amp; vùng miền</x:v>
      </x:c>
      <x:c r="C48" s="64" t="str">
        <x:v>Ngoại ơi, con qua nhà bạn chơi được hông?</x:v>
      </x:c>
      <x:c r="D48" s="64" t="str">
        <x:v>Grandma, can I go to my friend's house?</x:v>
      </x:c>
      <x:c r="E48" s="64" t="str">
        <x:v>Grandma, I am going to my friend's house.</x:v>
      </x:c>
      <x:c r="F48" s="64" t="str">
        <x:v>Hiểu 'ngoại', 'hông' và giữ đây là câu xin phép.</x:v>
      </x:c>
      <x:c r="G48" s="64" t="str">
        <x:v>Vùng miền; loại câu</x:v>
      </x:c>
      <x:c r="H48" s="67" t="str">
        <x:v>AI trung thành</x:v>
      </x:c>
      <x:c r="I48" s="64" t="str"/>
      <x:c r="J48" s="67" t="str">
        <x:v>Chưa kiểm thử</x:v>
      </x:c>
      <x:c r="K48" s="75" t="str"/>
    </x:row>
    <x:row r="49" ht="54" customHeight="1">
      <x:c r="A49" s="74" t="str">
        <x:v>V1-045</x:v>
      </x:c>
      <x:c r="B49" s="64" t="str">
        <x:v>Khẩu ngữ &amp; vùng miền</x:v>
      </x:c>
      <x:c r="C49" s="64" t="str">
        <x:v>Bữa nay con mệt quá.</x:v>
      </x:c>
      <x:c r="D49" s="64" t="str">
        <x:v>I'm very tired today.</x:v>
      </x:c>
      <x:c r="E49" s="64" t="str">
        <x:v>I was tired yesterday.</x:v>
      </x:c>
      <x:c r="F49" s="64" t="str">
        <x:v>Hiểu 'bữa nay' là hôm nay và giữ mức độ mệt.</x:v>
      </x:c>
      <x:c r="G49" s="64" t="str">
        <x:v>Vùng miền; thời gian; mức độ</x:v>
      </x:c>
      <x:c r="H49" s="67" t="str">
        <x:v>AI trung thành</x:v>
      </x:c>
      <x:c r="I49" s="64" t="str"/>
      <x:c r="J49" s="67" t="str">
        <x:v>Chưa kiểm thử</x:v>
      </x:c>
      <x:c r="K49" s="75" t="str"/>
    </x:row>
    <x:row r="50" ht="54" customHeight="1">
      <x:c r="A50" s="74" t="str">
        <x:v>V1-046</x:v>
      </x:c>
      <x:c r="B50" s="64" t="str">
        <x:v>Không trả lời/suy diễn</x:v>
      </x:c>
      <x:c r="C50" s="64" t="str">
        <x:v>Mẹ ơi, tại sao trời mưa?</x:v>
      </x:c>
      <x:c r="D50" s="64" t="str">
        <x:v>Mom, why is it raining?</x:v>
      </x:c>
      <x:c r="E50" s="64" t="str">
        <x:v>Because there are clouds in the sky.</x:v>
      </x:c>
      <x:c r="F50" s="64" t="str">
        <x:v>Chỉ dịch câu hỏi, không tự trả lời.</x:v>
      </x:c>
      <x:c r="G50" s="64" t="str">
        <x:v>Không trả lời; loại câu</x:v>
      </x:c>
      <x:c r="H50" s="67" t="str">
        <x:v>AI trung thành</x:v>
      </x:c>
      <x:c r="I50" s="64" t="str"/>
      <x:c r="J50" s="67" t="str">
        <x:v>Chưa kiểm thử</x:v>
      </x:c>
      <x:c r="K50" s="75" t="str"/>
    </x:row>
    <x:row r="51" ht="54" customHeight="1">
      <x:c r="A51" s="74" t="str">
        <x:v>V1-047</x:v>
      </x:c>
      <x:c r="B51" s="64" t="str">
        <x:v>Không trả lời/suy diễn</x:v>
      </x:c>
      <x:c r="C51" s="64" t="str">
        <x:v>Bố có yêu con không?</x:v>
      </x:c>
      <x:c r="D51" s="64" t="str">
        <x:v>Dad, do you love me?</x:v>
      </x:c>
      <x:c r="E51" s="64" t="str">
        <x:v>Of course Dad loves you.</x:v>
      </x:c>
      <x:c r="F51" s="64" t="str">
        <x:v>Không tự trả lời hoặc trấn an thay người bố.</x:v>
      </x:c>
      <x:c r="G51" s="64" t="str">
        <x:v>Không trả lời; chủ thể</x:v>
      </x:c>
      <x:c r="H51" s="67" t="str">
        <x:v>AI trung thành</x:v>
      </x:c>
      <x:c r="I51" s="64" t="str"/>
      <x:c r="J51" s="67" t="str">
        <x:v>Chưa kiểm thử</x:v>
      </x:c>
      <x:c r="K51" s="75" t="str"/>
    </x:row>
    <x:row r="52" ht="54" customHeight="1">
      <x:c r="A52" s="74" t="str">
        <x:v>V1-048</x:v>
      </x:c>
      <x:c r="B52" s="64" t="str">
        <x:v>Không trả lời/suy diễn</x:v>
      </x:c>
      <x:c r="C52" s="64" t="str">
        <x:v>Con nên chọn cái nào?</x:v>
      </x:c>
      <x:c r="D52" s="64" t="str">
        <x:v>Which one should I choose?</x:v>
      </x:c>
      <x:c r="E52" s="64" t="str">
        <x:v>You should choose the blue one.</x:v>
      </x:c>
      <x:c r="F52" s="64" t="str">
        <x:v>Không tự đưa ra lựa chọn hoặc lời khuyên.</x:v>
      </x:c>
      <x:c r="G52" s="64" t="str">
        <x:v>Không trả lời; loại câu</x:v>
      </x:c>
      <x:c r="H52" s="67" t="str">
        <x:v>AI trung thành</x:v>
      </x:c>
      <x:c r="I52" s="64" t="str"/>
      <x:c r="J52" s="67" t="str">
        <x:v>Chưa kiểm thử</x:v>
      </x:c>
      <x:c r="K52" s="75" t="str"/>
    </x:row>
    <x:row r="53" ht="54" customHeight="1">
      <x:c r="A53" s="74" t="str">
        <x:v>V1-049</x:v>
      </x:c>
      <x:c r="B53" s="64" t="str">
        <x:v>Không trả lời/suy diễn</x:v>
      </x:c>
      <x:c r="C53" s="64" t="str">
        <x:v>Cô ơi, chữ này đọc thế nào?</x:v>
      </x:c>
      <x:c r="D53" s="64" t="str">
        <x:v>Teacher, how do you pronounce this word?</x:v>
      </x:c>
      <x:c r="E53" s="64" t="str">
        <x:v>This word is pronounced apple.</x:v>
      </x:c>
      <x:c r="F53" s="64" t="str">
        <x:v>Không tự đoán từ và trả lời cách phát âm.</x:v>
      </x:c>
      <x:c r="G53" s="64" t="str">
        <x:v>Không trả lời; lời gọi</x:v>
      </x:c>
      <x:c r="H53" s="67" t="str">
        <x:v>AI trung thành</x:v>
      </x:c>
      <x:c r="I53" s="64" t="str"/>
      <x:c r="J53" s="67" t="str">
        <x:v>Chưa kiểm thử</x:v>
      </x:c>
      <x:c r="K53" s="75" t="str"/>
    </x:row>
    <x:row r="54" ht="54" customHeight="1">
      <x:c r="A54" s="76" t="str">
        <x:v>V1-050</x:v>
      </x:c>
      <x:c r="B54" s="77" t="str">
        <x:v>Không trả lời/suy diễn</x:v>
      </x:c>
      <x:c r="C54" s="77" t="str">
        <x:v>Nếu con làm sai thì sao?</x:v>
      </x:c>
      <x:c r="D54" s="77" t="str">
        <x:v>What happens if I make a mistake?</x:v>
      </x:c>
      <x:c r="E54" s="77" t="str">
        <x:v>Don't worry, everything will be fine.</x:v>
      </x:c>
      <x:c r="F54" s="77" t="str">
        <x:v>Không tự trấn an hoặc trả lời câu hỏi giả định.</x:v>
      </x:c>
      <x:c r="G54" s="77" t="str">
        <x:v>Không trả lời; loại câu</x:v>
      </x:c>
      <x:c r="H54" s="78" t="str">
        <x:v>AI trung thành</x:v>
      </x:c>
      <x:c r="I54" s="77" t="str"/>
      <x:c r="J54" s="78" t="str">
        <x:v>Chưa kiểm thử</x:v>
      </x:c>
      <x:c r="K54" s="79" t="str"/>
    </x:row>
  </x:sheetData>
  <x:mergeCells>
    <x:mergeCell ref="A1:K1"/>
    <x:mergeCell ref="A2:K2"/>
  </x:mergeCells>
  <x:conditionalFormatting sqref="J5:J54">
    <x:cfRule type="containsText" dxfId="0" priority="1" operator="containsText" text="Đạt"/>
    <x:cfRule type="containsText" dxfId="1" priority="2" operator="containsText" text="Không đạt"/>
    <x:cfRule type="containsText" dxfId="2" priority="3" operator="containsText" text="Cần duyệt"/>
  </x:conditionalFormatting>
  <x:dataValidations count="1">
    <x:dataValidation type="list" sqref="J5:J54">
      <x:formula1>"Chưa kiểm thử,Đạt,Không đạt,Cần duyệt"</x:formula1>
    </x:dataValidation>
  </x:dataValidations>
  <x:pageMargins left="0.7" right="0.7" top="0.75" bottom="0.75" header="0.3" footer="0.3"/>
  <x:tableParts count="1">
    <x:tablePart xmlns:r="http://schemas.openxmlformats.org/officeDocument/2006/relationships" r:id="R10f976bb8cba4af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66" hidden="0" customWidth="1"/>
    <x:col min="3" max="3" width="4" hidden="0" customWidth="1"/>
    <x:col min="4" max="4" width="20" hidden="0" customWidth="1"/>
    <x:col min="5" max="5" width="38" hidden="0" customWidth="1"/>
    <x:col min="6" max="6" width="36" hidden="0" customWidth="1"/>
  </x:cols>
  <x:sheetData>
    <x:row r="1">
      <x:c r="A1" s="105" t="str">
        <x:v>HƯỚNG DẪN CHẠY VÀ DUYỆT GOLDEN TEST SET V1</x:v>
      </x:c>
      <x:c r="B1" s="105"/>
      <x:c r="C1" s="105"/>
      <x:c r="D1" s="105"/>
      <x:c r="E1" s="105"/>
      <x:c r="F1" s="105"/>
    </x:row>
    <x:row r="2">
      <x:c r="A2" s="27"/>
      <x:c r="B2" s="27"/>
      <x:c r="C2" s="27"/>
      <x:c r="D2" s="27"/>
      <x:c r="E2" s="27"/>
      <x:c r="F2" s="27"/>
    </x:row>
    <x:row r="3">
      <x:c r="A3" s="106" t="str">
        <x:v>Bước</x:v>
      </x:c>
      <x:c r="B3" s="107" t="str">
        <x:v>Cách thực hiện</x:v>
      </x:c>
      <x:c r="C3" s="27"/>
      <x:c r="D3" s="106" t="str">
        <x:v>Trạng thái</x:v>
      </x:c>
      <x:c r="E3" s="108" t="str">
        <x:v>Ý nghĩa</x:v>
      </x:c>
      <x:c r="F3" s="107" t="str">
        <x:v>Hành động</x:v>
      </x:c>
    </x:row>
    <x:row r="4" ht="38" customHeight="1">
      <x:c r="A4" s="109" t="str">
        <x:v>1</x:v>
      </x:c>
      <x:c r="B4" s="110" t="str">
        <x:v>Chạy từng câu ở cột C của sheet '50 câu kiểm thử' trực tiếp qua prompt V1.</x:v>
      </x:c>
      <x:c r="C4" s="27"/>
      <x:c r="D4" s="109" t="str">
        <x:v>Chưa kiểm thử</x:v>
      </x:c>
      <x:c r="E4" s="111" t="str">
        <x:v>Chưa có kết quả AI</x:v>
      </x:c>
      <x:c r="F4" s="110" t="str">
        <x:v>Chạy prompt</x:v>
      </x:c>
    </x:row>
    <x:row r="5" ht="38" customHeight="1">
      <x:c r="A5" s="109" t="str">
        <x:v>2</x:v>
      </x:c>
      <x:c r="B5" s="110" t="str">
        <x:v>Tắt/bỏ qua phrase rule, keyword rule, semantic intent, promoted rule và text cache trong lần kiểm thử prompt.</x:v>
      </x:c>
      <x:c r="C5" s="27"/>
      <x:c r="D5" s="109" t="str">
        <x:v>Đạt</x:v>
      </x:c>
      <x:c r="E5" s="111" t="str">
        <x:v>Đúng nội dung và tự nhiên</x:v>
      </x:c>
      <x:c r="F5" s="110" t="str">
        <x:v>Giữ kết quả</x:v>
      </x:c>
    </x:row>
    <x:row r="6" ht="38" customHeight="1">
      <x:c r="A6" s="109" t="str">
        <x:v>3</x:v>
      </x:c>
      <x:c r="B6" s="110" t="str">
        <x:v>Dán nguyên kết quả của AI vào cột I, không chỉnh sửa trước khi đánh giá.</x:v>
      </x:c>
      <x:c r="C6" s="27"/>
      <x:c r="D6" s="109" t="str">
        <x:v>Không đạt</x:v>
      </x:c>
      <x:c r="E6" s="111" t="str">
        <x:v>Vi phạm ít nhất một tiêu chí bắt buộc</x:v>
      </x:c>
      <x:c r="F6" s="110" t="str">
        <x:v>Sửa prompt hoặc ví dụ</x:v>
      </x:c>
    </x:row>
    <x:row r="7" ht="38" customHeight="1">
      <x:c r="A7" s="109" t="str">
        <x:v>4</x:v>
      </x:c>
      <x:c r="B7" s="110" t="str">
        <x:v>So với bản dịch chuẩn và kiểm tra đầy đủ tiêu chí ở cột F–G.</x:v>
      </x:c>
      <x:c r="C7" s="27"/>
      <x:c r="D7" s="112" t="str">
        <x:v>Cần duyệt</x:v>
      </x:c>
      <x:c r="E7" s="113" t="str">
        <x:v>Có nhiều bản dịch tự nhiên hoặc ngữ cảnh mơ hồ</x:v>
      </x:c>
      <x:c r="F7" s="114" t="str">
        <x:v>Người phụ trách ngôn ngữ quyết định</x:v>
      </x:c>
    </x:row>
    <x:row r="8" ht="38" customHeight="1">
      <x:c r="A8" s="109" t="str">
        <x:v>5</x:v>
      </x:c>
      <x:c r="B8" s="110" t="str">
        <x:v>Chọn Đạt, Không đạt hoặc Cần duyệt ở cột J; ghi lý do cụ thể ở cột K.</x:v>
      </x:c>
      <x:c r="C8" s="27"/>
      <x:c r="D8" s="27"/>
      <x:c r="E8" s="27"/>
      <x:c r="F8" s="27"/>
    </x:row>
    <x:row r="9" ht="38" customHeight="1">
      <x:c r="A9" s="109" t="str">
        <x:v>6</x:v>
      </x:c>
      <x:c r="B9" s="110" t="str">
        <x:v>Một bản dịch khác câu chuẩn vẫn có thể Đạt nếu tự nhiên và giữ nguyên toàn bộ nội dung.</x:v>
      </x:c>
      <x:c r="C9" s="27"/>
      <x:c r="D9" s="27"/>
      <x:c r="E9" s="27"/>
      <x:c r="F9" s="27"/>
    </x:row>
    <x:row r="10" ht="38" customHeight="1">
      <x:c r="A10" s="109" t="str">
        <x:v>7</x:v>
      </x:c>
      <x:c r="B10" s="110" t="str">
        <x:v>Đổi chủ thể, mất phủ định, đổi loại câu hoặc tự trả lời phải đánh dấu Không đạt.</x:v>
      </x:c>
      <x:c r="C10" s="27"/>
      <x:c r="D10" s="27"/>
      <x:c r="E10" s="27"/>
      <x:c r="F10" s="27"/>
    </x:row>
    <x:row r="11" ht="38" customHeight="1">
      <x:c r="A11" s="109" t="str">
        <x:v>8</x:v>
      </x:c>
      <x:c r="B11" s="110" t="str">
        <x:v>Sau khi prompt đạt, chạy lại cùng 50 câu qua toàn bộ pipeline để phát hiện rule/cache ghi đè.</x:v>
      </x:c>
      <x:c r="C11" s="27"/>
      <x:c r="D11" s="27"/>
      <x:c r="E11" s="27"/>
      <x:c r="F11" s="27"/>
    </x:row>
    <x:row r="12" ht="38" customHeight="1">
      <x:c r="A12" s="112" t="str">
        <x:v>9</x:v>
      </x:c>
      <x:c r="B12" s="114" t="str">
        <x:v>Chỉ phát hành khi mọi lỗi chặn đạt 100%; không dùng điểm trung bình để bù lỗi nghiêm trọng.</x:v>
      </x:c>
      <x:c r="C12" s="27"/>
      <x:c r="D12" s="27"/>
      <x:c r="E12" s="27"/>
      <x:c r="F12" s="27"/>
    </x:row>
    <x:row r="13">
      <x:c r="A13" s="27"/>
      <x:c r="B13" s="27"/>
      <x:c r="C13" s="27"/>
      <x:c r="D13" s="27"/>
      <x:c r="E13" s="27"/>
      <x:c r="F13" s="27"/>
    </x:row>
    <x:row r="14">
      <x:c r="A14" s="115" t="str">
        <x:v>Lưu ý về so sánh: không yêu cầu kết quả AI giống từng ký tự với cột 'Bản dịch chuẩn'. Người duyệt đánh giá theo ý nghĩa, chủ thể, loại câu, phủ định và độ tự nhiên. Bản dịch chuẩn là mốc thống nhất, không phải cơ chế exact string matching cho kết quả AI.</x:v>
      </x:c>
      <x:c r="B14" s="115"/>
      <x:c r="C14" s="115"/>
      <x:c r="D14" s="115"/>
      <x:c r="E14" s="115"/>
      <x:c r="F14" s="115"/>
    </x:row>
    <x:row r="15">
      <x:c r="A15" s="115"/>
      <x:c r="B15" s="115"/>
      <x:c r="C15" s="115"/>
      <x:c r="D15" s="115"/>
      <x:c r="E15" s="115"/>
      <x:c r="F15" s="115"/>
    </x:row>
    <x:row r="16">
      <x:c r="A16" s="115"/>
      <x:c r="B16" s="115"/>
      <x:c r="C16" s="115"/>
      <x:c r="D16" s="115"/>
      <x:c r="E16" s="115"/>
      <x:c r="F16" s="115"/>
    </x:row>
  </x:sheetData>
  <x:mergeCells>
    <x:mergeCell ref="A1:F1"/>
    <x:mergeCell ref="A14:F16"/>
  </x:mergeCells>
  <x:pageMargins left="0.7" right="0.7" top="0.75" bottom="0.75" header="0.3" footer="0.3"/>
</x:worksheet>
</file>