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c9c1932c6e4c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mples" sheetId="1" r:id="Rd67bdc7f94d84ce0"/>
    <x:sheet xmlns:r="http://schemas.openxmlformats.org/officeDocument/2006/relationships" name="Summary" sheetId="2" r:id="R29ed458c12aa49e5"/>
    <x:sheet xmlns:r="http://schemas.openxmlformats.org/officeDocument/2006/relationships" name="Sentence Guide" sheetId="3" r:id="R11d9de9ebab14ad3"/>
    <x:sheet xmlns:r="http://schemas.openxmlformats.org/officeDocument/2006/relationships" name="Upload Log" sheetId="4" r:id="R3be98cbf5db64c5a"/>
    <x:sheet xmlns:r="http://schemas.openxmlformats.org/officeDocument/2006/relationships" name="Instructions" sheetId="5" r:id="R6778dd8bb3f848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0"/>
    <x:numFmt numFmtId="201" formatCode="yyyy-mm-dd hh:mm"/>
    <x:numFmt numFmtId="202" formatCode="0.0"/>
    <x:numFmt numFmtId="203" formatCode="yyyy-mm-dd hh:mm:ss"/>
    <x:numFmt numFmtId="204" formatCode="0.0%"/>
    <x:numFmt numFmtId="205" formatCode="0.000"/>
    <x:numFmt numFmtId="206" formatCode="0.00"/>
    <x:numFmt numFmtId="207" formatCode="0.00%"/>
    <x:numFmt numFmtId="208" formatCode="#,##0"/>
  </x:numFmts>
  <x:fonts count="10">
    <x:font>
      <x:sz val="11"/>
      <x:name val="Carlito"/>
    </x:font>
    <x:font>
      <x:b/>
      <x:sz val="10"/>
      <x:color rgb="FFFFFFFF"/>
      <x:name val="Aptos"/>
    </x:font>
    <x:font>
      <x:sz val="10"/>
      <x:color rgb="FF243447"/>
      <x:name val="Aptos"/>
    </x:font>
    <x:font>
      <x:b/>
      <x:sz val="18"/>
      <x:color rgb="FFFFFFFF"/>
      <x:name val="Aptos Display"/>
    </x:font>
    <x:font>
      <x:b/>
      <x:sz val="11"/>
      <x:color rgb="FFFFFFFF"/>
      <x:name val="Carlito"/>
    </x:font>
    <x:font>
      <x:b/>
      <x:sz val="11"/>
      <x:color rgb="FF147D75"/>
      <x:name val="Carlito"/>
    </x:font>
    <x:font>
      <x:sz val="11"/>
      <x:color rgb="FF243447"/>
      <x:name val="Carlito"/>
    </x:font>
    <x:font>
      <x:b/>
      <x:sz val="11"/>
      <x:color rgb="FF8A5700"/>
      <x:name val="Carlito"/>
    </x:font>
    <x:font>
      <x:b/>
      <x:sz val="11"/>
      <x:color rgb="FF17324D"/>
      <x:name val="Carlito"/>
    </x:font>
    <x:font>
      <x:b/>
      <x:sz val="16"/>
      <x:color rgb="FFFFFFFF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FFFCF3"/>
      </x:patternFill>
    </x:fill>
    <x:fill>
      <x:patternFill patternType="solid">
        <x:fgColor rgb="FFF7FAFC"/>
      </x:patternFill>
    </x:fill>
    <x:fill>
      <x:patternFill patternType="solid">
        <x:fgColor rgb="FFF1F7F6"/>
      </x:patternFill>
    </x:fill>
    <x:fill>
      <x:patternFill patternType="solid">
        <x:fgColor rgb="FF147D75"/>
      </x:patternFill>
    </x:fill>
    <x:fill>
      <x:patternFill patternType="solid">
        <x:fgColor rgb="FFE5F4F1"/>
      </x:patternFill>
    </x:fill>
    <x:fill>
      <x:patternFill patternType="solid">
        <x:fgColor rgb="FFFFFFFF"/>
      </x:patternFill>
    </x:fill>
    <x:fill>
      <x:patternFill patternType="solid">
        <x:fgColor rgb="FFFFF3D6"/>
      </x:patternFill>
    </x:fill>
  </x:fills>
  <x:borders count="8">
    <x:border/>
    <x:border>
      <x:bottom style="thin">
        <x:color rgb="FFEDF1F5"/>
      </x:bottom>
    </x:border>
    <x:border>
      <x:top style="thin">
        <x:color rgb="FFEDF1F5"/>
      </x:top>
      <x:bottom style="thin">
        <x:color rgb="FFEDF1F5"/>
      </x:bottom>
    </x:border>
    <x:border>
      <x:top style="thin">
        <x:color rgb="FFEDF1F5"/>
      </x:top>
      <x:bottom style="thin">
        <x:color rgb="FFD6DEE7"/>
      </x:bottom>
    </x:border>
    <x:border>
      <x:left style="thin">
        <x:color rgb="FFD6DEE7"/>
      </x:left>
      <x:right style="thin">
        <x:color rgb="FFD6DEE7"/>
      </x:right>
      <x:top style="thin">
        <x:color rgb="FFD6DEE7"/>
      </x:top>
      <x:bottom style="thin">
        <x:color rgb="FFD6DEE7"/>
      </x:bottom>
    </x:border>
    <x:border>
      <x:bottom style="thin">
        <x:color rgb="FFE1E7EE"/>
      </x:bottom>
    </x:border>
    <x:border>
      <x:top style="thin">
        <x:color rgb="FFE1E7EE"/>
      </x:top>
      <x:bottom style="thin">
        <x:color rgb="FFE1E7EE"/>
      </x:bottom>
    </x:border>
    <x:border>
      <x:top style="thin">
        <x:color rgb="FFE1E7EE"/>
      </x:top>
      <x:bottom style="thin">
        <x:color rgb="FFD6DEE7"/>
      </x:bottom>
    </x:border>
  </x:borders>
  <x:cellStyleXfs count="1">
    <x:xf numFmtId="0" fontId="0" fillId="0" borderId="0"/>
  </x:cellStyleXfs>
  <x:cellXfs count="13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0" xfId="0" applyNumberFormat="1" applyFont="1" applyFill="1" applyBorder="1"/>
    <x:xf numFmtId="0" fontId="2" fillId="4" borderId="0" xfId="0" applyNumberFormat="1" applyFont="1" applyFill="1" applyBorder="1"/>
    <x:xf numFmtId="0" fontId="2" fillId="5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1" xfId="0" applyNumberFormat="1" applyFont="1" applyFill="1" applyBorder="1"/>
    <x:xf numFmtId="0" fontId="2" fillId="0" borderId="1" xfId="0" applyNumberFormat="1" applyFont="1" applyFill="1" applyBorder="1"/>
    <x:xf numFmtId="0" fontId="2" fillId="4" borderId="1" xfId="0" applyNumberFormat="1" applyFont="1" applyFill="1" applyBorder="1"/>
    <x:xf numFmtId="0" fontId="2" fillId="5" borderId="1" xfId="0" applyNumberFormat="1" applyFont="1" applyFill="1" applyBorder="1"/>
    <x:xf numFmtId="0" fontId="2" fillId="6" borderId="1" xfId="0" applyNumberFormat="1" applyFont="1" applyFill="1" applyBorder="1"/>
    <x:xf numFmtId="0" fontId="2" fillId="6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2" xfId="0" applyNumberFormat="1" applyFont="1" applyFill="1" applyBorder="1"/>
    <x:xf numFmtId="0" fontId="2" fillId="0" borderId="2" xfId="0" applyNumberFormat="1" applyFont="1" applyFill="1" applyBorder="1"/>
    <x:xf numFmtId="0" fontId="2" fillId="4" borderId="2" xfId="0" applyNumberFormat="1" applyFont="1" applyFill="1" applyBorder="1"/>
    <x:xf numFmtId="0" fontId="2" fillId="5" borderId="2" xfId="0" applyNumberFormat="1" applyFont="1" applyFill="1" applyBorder="1"/>
    <x:xf numFmtId="0" fontId="2" fillId="6" borderId="2" xfId="0" applyNumberFormat="1" applyFont="1" applyFill="1" applyBorder="1"/>
    <x:xf numFmtId="0" fontId="2" fillId="6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3" xfId="0" applyNumberFormat="1" applyFont="1" applyFill="1" applyBorder="1"/>
    <x:xf numFmtId="0" fontId="2" fillId="0" borderId="3" xfId="0" applyNumberFormat="1" applyFont="1" applyFill="1" applyBorder="1"/>
    <x:xf numFmtId="0" fontId="2" fillId="4" borderId="3" xfId="0" applyNumberFormat="1" applyFont="1" applyFill="1" applyBorder="1"/>
    <x:xf numFmtId="0" fontId="2" fillId="5" borderId="3" xfId="0" applyNumberFormat="1" applyFont="1" applyFill="1" applyBorder="1"/>
    <x:xf numFmtId="0" fontId="2" fillId="6" borderId="3" xfId="0" applyNumberFormat="1" applyFont="1" applyFill="1" applyBorder="1"/>
    <x:xf numFmtId="0" fontId="2" fillId="6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2" fillId="4" borderId="2" xfId="0" applyNumberFormat="1" applyFont="1" applyFill="1" applyBorder="1" applyAlignment="1">
      <x:alignment wrapText="1"/>
    </x:xf>
    <x:xf numFmtId="0" fontId="2" fillId="4" borderId="3" xfId="0" applyNumberFormat="1" applyFont="1" applyFill="1" applyBorder="1" applyAlignment="1">
      <x:alignment wrapText="1"/>
    </x:xf>
    <x:xf numFmtId="0" fontId="2" fillId="6" borderId="1" xfId="0" applyNumberFormat="1" applyFont="1" applyFill="1" applyBorder="1" applyAlignment="1">
      <x:alignment wrapText="1"/>
    </x:xf>
    <x:xf numFmtId="0" fontId="2" fillId="6" borderId="2" xfId="0" applyNumberFormat="1" applyFont="1" applyFill="1" applyBorder="1" applyAlignment="1">
      <x:alignment wrapText="1"/>
    </x:xf>
    <x:xf numFmtId="0" fontId="2" fillId="6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 applyAlignment="1">
      <x:alignment horizontal="center"/>
    </x:xf>
    <x:xf numFmtId="0" fontId="2" fillId="4" borderId="1" xfId="0" applyNumberFormat="1" applyFont="1" applyFill="1" applyBorder="1" applyAlignment="1">
      <x:alignment horizontal="center"/>
    </x:xf>
    <x:xf numFmtId="0" fontId="2" fillId="0" borderId="2" xfId="0" applyNumberFormat="1" applyFont="1" applyFill="1" applyBorder="1" applyAlignment="1">
      <x:alignment horizontal="center"/>
    </x:xf>
    <x:xf numFmtId="0" fontId="2" fillId="4" borderId="2" xfId="0" applyNumberFormat="1" applyFont="1" applyFill="1" applyBorder="1" applyAlignment="1">
      <x:alignment horizontal="center"/>
    </x:xf>
    <x:xf numFmtId="0" fontId="2" fillId="0" borderId="3" xfId="0" applyNumberFormat="1" applyFont="1" applyFill="1" applyBorder="1" applyAlignment="1">
      <x:alignment horizontal="center"/>
    </x:xf>
    <x:xf numFmtId="0" fontId="2" fillId="4" borderId="3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 applyAlignment="1">
      <x:alignment horizontal="center" wrapText="1"/>
    </x:xf>
    <x:xf numFmtId="0" fontId="2" fillId="5" borderId="1" xfId="0" applyNumberFormat="1" applyFont="1" applyFill="1" applyBorder="1" applyAlignment="1">
      <x:alignment horizontal="center"/>
    </x:xf>
    <x:xf numFmtId="0" fontId="2" fillId="6" borderId="1" xfId="0" applyNumberFormat="1" applyFont="1" applyFill="1" applyBorder="1" applyAlignment="1">
      <x:alignment horizontal="center" wrapText="1"/>
    </x:xf>
    <x:xf numFmtId="0" fontId="2" fillId="6" borderId="1" xfId="0" applyNumberFormat="1" applyFont="1" applyFill="1" applyBorder="1" applyAlignment="1">
      <x:alignment horizontal="center"/>
    </x:xf>
    <x:xf numFmtId="0" fontId="2" fillId="6" borderId="1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2" xfId="0" applyNumberFormat="1" applyFont="1" applyFill="1" applyBorder="1" applyAlignment="1">
      <x:alignment horizontal="center" wrapText="1"/>
    </x:xf>
    <x:xf numFmtId="0" fontId="2" fillId="5" borderId="2" xfId="0" applyNumberFormat="1" applyFont="1" applyFill="1" applyBorder="1" applyAlignment="1">
      <x:alignment horizontal="center"/>
    </x:xf>
    <x:xf numFmtId="0" fontId="2" fillId="6" borderId="2" xfId="0" applyNumberFormat="1" applyFont="1" applyFill="1" applyBorder="1" applyAlignment="1">
      <x:alignment horizontal="center" wrapText="1"/>
    </x:xf>
    <x:xf numFmtId="0" fontId="2" fillId="6" borderId="2" xfId="0" applyNumberFormat="1" applyFont="1" applyFill="1" applyBorder="1" applyAlignment="1">
      <x:alignment horizontal="center"/>
    </x:xf>
    <x:xf numFmtId="0" fontId="2" fillId="6" borderId="2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3" xfId="0" applyNumberFormat="1" applyFont="1" applyFill="1" applyBorder="1" applyAlignment="1">
      <x:alignment horizontal="center" wrapText="1"/>
    </x:xf>
    <x:xf numFmtId="0" fontId="2" fillId="5" borderId="3" xfId="0" applyNumberFormat="1" applyFont="1" applyFill="1" applyBorder="1" applyAlignment="1">
      <x:alignment horizontal="center"/>
    </x:xf>
    <x:xf numFmtId="0" fontId="2" fillId="6" borderId="3" xfId="0" applyNumberFormat="1" applyFont="1" applyFill="1" applyBorder="1" applyAlignment="1">
      <x:alignment horizontal="center" wrapText="1"/>
    </x:xf>
    <x:xf numFmtId="0" fontId="2" fillId="6" borderId="3" xfId="0" applyNumberFormat="1" applyFont="1" applyFill="1" applyBorder="1" applyAlignment="1">
      <x:alignment horizontal="center"/>
    </x:xf>
    <x:xf numFmtId="0" fontId="2" fillId="6" borderId="3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0" borderId="1" xfId="0" applyNumberFormat="1" applyFont="1" applyFill="1" applyBorder="1" applyAlignment="1">
      <x:alignment horizontal="center"/>
    </x:xf>
    <x:xf numFmtId="200" fontId="2" fillId="0" borderId="2" xfId="0" applyNumberFormat="1" applyFont="1" applyFill="1" applyBorder="1" applyAlignment="1">
      <x:alignment horizontal="center"/>
    </x:xf>
    <x:xf numFmtId="200" fontId="2" fillId="0" borderId="3" xfId="0" applyNumberFormat="1" applyFont="1" applyFill="1" applyBorder="1" applyAlignment="1">
      <x:alignment horizontal="center"/>
    </x:xf>
    <x:xf numFmtId="201" fontId="2" fillId="0" borderId="1" xfId="0" applyNumberFormat="1" applyFont="1" applyFill="1" applyBorder="1" applyAlignment="1">
      <x:alignment horizontal="center"/>
    </x:xf>
    <x:xf numFmtId="201" fontId="2" fillId="0" borderId="2" xfId="0" applyNumberFormat="1" applyFont="1" applyFill="1" applyBorder="1" applyAlignment="1">
      <x:alignment horizontal="center"/>
    </x:xf>
    <x:xf numFmtId="201" fontId="2" fillId="0" borderId="3" xfId="0" applyNumberFormat="1" applyFont="1" applyFill="1" applyBorder="1" applyAlignment="1">
      <x:alignment horizontal="center"/>
    </x:xf>
    <x:xf numFmtId="200" fontId="2" fillId="5" borderId="1" xfId="0" applyNumberFormat="1" applyFont="1" applyFill="1" applyBorder="1" applyAlignment="1">
      <x:alignment horizontal="center"/>
    </x:xf>
    <x:xf numFmtId="200" fontId="2" fillId="5" borderId="2" xfId="0" applyNumberFormat="1" applyFont="1" applyFill="1" applyBorder="1" applyAlignment="1">
      <x:alignment horizontal="center"/>
    </x:xf>
    <x:xf numFmtId="200" fontId="2" fillId="5" borderId="3" xfId="0" applyNumberFormat="1" applyFont="1" applyFill="1" applyBorder="1" applyAlignment="1">
      <x:alignment horizontal="center"/>
    </x:xf>
    <x:xf numFmtId="202" fontId="2" fillId="5" borderId="1" xfId="0" applyNumberFormat="1" applyFont="1" applyFill="1" applyBorder="1" applyAlignment="1">
      <x:alignment horizontal="center"/>
    </x:xf>
    <x:xf numFmtId="202" fontId="2" fillId="5" borderId="2" xfId="0" applyNumberFormat="1" applyFont="1" applyFill="1" applyBorder="1" applyAlignment="1">
      <x:alignment horizontal="center"/>
    </x:xf>
    <x:xf numFmtId="202" fontId="2" fillId="5" borderId="3" xfId="0" applyNumberFormat="1" applyFont="1" applyFill="1" applyBorder="1" applyAlignment="1">
      <x:alignment horizontal="center"/>
    </x:xf>
    <x:xf numFmtId="203" fontId="2" fillId="5" borderId="1" xfId="0" applyNumberFormat="1" applyFont="1" applyFill="1" applyBorder="1" applyAlignment="1">
      <x:alignment horizontal="center"/>
    </x:xf>
    <x:xf numFmtId="203" fontId="2" fillId="5" borderId="2" xfId="0" applyNumberFormat="1" applyFont="1" applyFill="1" applyBorder="1" applyAlignment="1">
      <x:alignment horizontal="center"/>
    </x:xf>
    <x:xf numFmtId="203" fontId="2" fillId="5" borderId="3" xfId="0" applyNumberFormat="1" applyFont="1" applyFill="1" applyBorder="1" applyAlignment="1">
      <x:alignment horizontal="center"/>
    </x:xf>
    <x:xf numFmtId="204" fontId="2" fillId="6" borderId="1" xfId="0" applyNumberFormat="1" applyFont="1" applyFill="1" applyBorder="1" applyAlignment="1">
      <x:alignment horizontal="center"/>
    </x:xf>
    <x:xf numFmtId="204" fontId="2" fillId="6" borderId="2" xfId="0" applyNumberFormat="1" applyFont="1" applyFill="1" applyBorder="1" applyAlignment="1">
      <x:alignment horizontal="center"/>
    </x:xf>
    <x:xf numFmtId="204" fontId="2" fillId="6" borderId="3" xfId="0" applyNumberFormat="1" applyFont="1" applyFill="1" applyBorder="1" applyAlignment="1">
      <x:alignment horizontal="center"/>
    </x:xf>
    <x:xf numFmtId="205" fontId="2" fillId="6" borderId="1" xfId="0" applyNumberFormat="1" applyFont="1" applyFill="1" applyBorder="1" applyAlignment="1">
      <x:alignment horizontal="center"/>
    </x:xf>
    <x:xf numFmtId="205" fontId="2" fillId="6" borderId="2" xfId="0" applyNumberFormat="1" applyFont="1" applyFill="1" applyBorder="1" applyAlignment="1">
      <x:alignment horizontal="center"/>
    </x:xf>
    <x:xf numFmtId="205" fontId="2" fillId="6" borderId="3" xfId="0" applyNumberFormat="1" applyFont="1" applyFill="1" applyBorder="1" applyAlignment="1">
      <x:alignment horizontal="center"/>
    </x:xf>
    <x:xf numFmtId="206" fontId="2" fillId="6" borderId="1" xfId="0" applyNumberFormat="1" applyFont="1" applyFill="1" applyBorder="1" applyAlignment="1">
      <x:alignment horizontal="center"/>
    </x:xf>
    <x:xf numFmtId="206" fontId="2" fillId="6" borderId="2" xfId="0" applyNumberFormat="1" applyFont="1" applyFill="1" applyBorder="1" applyAlignment="1">
      <x:alignment horizontal="center"/>
    </x:xf>
    <x:xf numFmtId="206" fontId="2" fillId="6" borderId="3" xfId="0" applyNumberFormat="1" applyFont="1" applyFill="1" applyBorder="1" applyAlignment="1">
      <x:alignment horizontal="center"/>
    </x:xf>
    <x:xf numFmtId="207" fontId="2" fillId="6" borderId="1" xfId="0" applyNumberFormat="1" applyFont="1" applyFill="1" applyBorder="1" applyAlignment="1">
      <x:alignment horizontal="center"/>
    </x:xf>
    <x:xf numFmtId="207" fontId="2" fillId="6" borderId="2" xfId="0" applyNumberFormat="1" applyFont="1" applyFill="1" applyBorder="1" applyAlignment="1">
      <x:alignment horizontal="center"/>
    </x:xf>
    <x:xf numFmtId="207" fontId="2" fillId="6" borderId="3" xfId="0" applyNumberFormat="1" applyFont="1" applyFill="1" applyBorder="1" applyAlignment="1">
      <x:alignment horizontal="center"/>
    </x:xf>
    <x:xf numFmtId="208" fontId="2" fillId="6" borderId="1" xfId="0" applyNumberFormat="1" applyFont="1" applyFill="1" applyBorder="1" applyAlignment="1">
      <x:alignment horizontal="center"/>
    </x:xf>
    <x:xf numFmtId="208" fontId="2" fillId="6" borderId="2" xfId="0" applyNumberFormat="1" applyFont="1" applyFill="1" applyBorder="1" applyAlignment="1">
      <x:alignment horizontal="center"/>
    </x:xf>
    <x:xf numFmtId="208" fontId="2" fillId="6" borderId="3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208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4" fillId="7" borderId="4" xfId="0" applyNumberFormat="1" applyFont="1" applyFill="1" applyBorder="1"/>
    <x:xf numFmtId="0" fontId="5" fillId="8" borderId="4" xfId="0" applyNumberFormat="1" applyFont="1" applyFill="1" applyBorder="1"/>
    <x:xf numFmtId="208" fontId="0" fillId="0" borderId="4" xfId="0" applyNumberFormat="1" applyFont="1" applyFill="1" applyBorder="1"/>
    <x:xf numFmtId="0" fontId="0" fillId="0" borderId="4" xfId="0" applyNumberFormat="1" applyFont="1" applyFill="1" applyBorder="1"/>
    <x:xf numFmtId="0" fontId="4" fillId="2" borderId="0" xfId="0" applyNumberFormat="1" applyFont="1" applyFill="1" applyBorder="1"/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4" fillId="2" borderId="4" xfId="0" applyNumberFormat="1" applyFont="1" applyFill="1" applyBorder="1"/>
    <x:xf numFmtId="0" fontId="6" fillId="9" borderId="4" xfId="0" applyNumberFormat="1" applyFont="1" applyFill="1" applyBorder="1"/>
    <x:xf numFmtId="208" fontId="6" fillId="9" borderId="4" xfId="0" applyNumberFormat="1" applyFont="1" applyFill="1" applyBorder="1"/>
    <x:xf numFmtId="0" fontId="0" fillId="10" borderId="0" xfId="0" applyNumberFormat="1" applyFont="1" applyFill="1" applyBorder="1"/>
    <x:xf numFmtId="0" fontId="7" fillId="10" borderId="0" xfId="0" applyNumberFormat="1" applyFont="1" applyFill="1" applyBorder="1"/>
    <x:xf numFmtId="0" fontId="6" fillId="9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/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0" fontId="8" fillId="3" borderId="5" xfId="0" applyNumberFormat="1" applyFont="1" applyFill="1" applyBorder="1" applyAlignment="1">
      <x:alignment horizontal="center"/>
    </x:xf>
    <x:xf numFmtId="0" fontId="6" fillId="0" borderId="5" xfId="0" applyNumberFormat="1" applyFont="1" applyFill="1" applyBorder="1" applyAlignment="1">
      <x:alignment vertical="center" wrapText="1"/>
    </x:xf>
    <x:xf numFmtId="0" fontId="8" fillId="3" borderId="6" xfId="0" applyNumberFormat="1" applyFont="1" applyFill="1" applyBorder="1" applyAlignment="1">
      <x:alignment horizontal="center"/>
    </x:xf>
    <x:xf numFmtId="0" fontId="6" fillId="0" borderId="6" xfId="0" applyNumberFormat="1" applyFont="1" applyFill="1" applyBorder="1" applyAlignment="1">
      <x:alignment vertical="center" wrapText="1"/>
    </x:xf>
    <x:xf numFmtId="0" fontId="8" fillId="3" borderId="7" xfId="0" applyNumberFormat="1" applyFont="1" applyFill="1" applyBorder="1" applyAlignment="1">
      <x:alignment horizontal="center"/>
    </x:xf>
    <x:xf numFmtId="0" fontId="6" fillId="0" borderId="7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0" fontId="9" fillId="2" borderId="0" xfId="0" applyNumberFormat="1" applyFont="1" applyFill="1" applyBorder="1"/>
  </x:cellXfs>
  <x:cellStyles count="1">
    <x:cellStyle name="Normal" xfId="0"/>
  </x:cellStyles>
  <x:dxfs count="3">
    <x:dxf>
      <x:font>
        <x:b/>
        <x:color rgb="FF146C43"/>
      </x:font>
      <x:fill>
        <x:patternFill patternType="solid">
          <x:bgColor rgb="FFE8F5ED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8A5700"/>
      </x:font>
      <x:fill>
        <x:patternFill patternType="solid">
          <x:bgColor rgb="FFFFF3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4a010a5b1542b4" /><Relationship Type="http://schemas.openxmlformats.org/officeDocument/2006/relationships/theme" Target="/xl/theme/theme1.xml" Id="R52fed0892a764916" /><Relationship Type="http://schemas.microsoft.com/office/2022/11/relationships/FeaturePropertyBag" Target="/xl/featurePropertyBag/featurePropertyBag.xml" Id="Rcabbd31bdcbf4c6e" /><Relationship Type="http://schemas.openxmlformats.org/officeDocument/2006/relationships/sharedStrings" Target="/xl/sharedStrings.xml" Id="Rb0afd151be7246ea" /><Relationship Type="http://schemas.openxmlformats.org/officeDocument/2006/relationships/worksheet" Target="/xl/worksheets/sheet1.xml" Id="Rd67bdc7f94d84ce0" /><Relationship Type="http://schemas.openxmlformats.org/officeDocument/2006/relationships/worksheet" Target="/xl/worksheets/sheet2.xml" Id="R29ed458c12aa49e5" /><Relationship Type="http://schemas.openxmlformats.org/officeDocument/2006/relationships/worksheet" Target="/xl/worksheets/sheet3.xml" Id="R11d9de9ebab14ad3" /><Relationship Type="http://schemas.openxmlformats.org/officeDocument/2006/relationships/worksheet" Target="/xl/worksheets/sheet4.xml" Id="R3be98cbf5db64c5a" /><Relationship Type="http://schemas.openxmlformats.org/officeDocument/2006/relationships/worksheet" Target="/xl/worksheets/sheet5.xml" Id="R6778dd8bb3f8488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AiPrecheckTable" displayName="AiPrecheckTable" ref="A1:AS61" headerRowCount="1" totalsRowCount="0" totalsRowShown="0">
  <x:autoFilter ref="A1:AS61"/>
  <x:tableColumns count="45">
    <x:tableColumn id="1" name="record_id"/>
    <x:tableColumn id="2" name="batch_id"/>
    <x:tableColumn id="3" name="sentence_code"/>
    <x:tableColumn id="4" name="source_vi"/>
    <x:tableColumn id="5" name="expected_en"/>
    <x:tableColumn id="6" name="draft_filename"/>
    <x:tableColumn id="7" name="official_filename"/>
    <x:tableColumn id="8" name="local_audio_path"/>
    <x:tableColumn id="9" name="audio_id"/>
    <x:tableColumn id="10" name="audio_hash"/>
    <x:tableColumn id="11" name="audio_version"/>
    <x:tableColumn id="12" name="upload_status"/>
    <x:tableColumn id="13" name="uploaded_at"/>
    <x:tableColumn id="14" name="test_result"/>
    <x:tableColumn id="15" name="error_categories"/>
    <x:tableColumn id="16" name="observed_result"/>
    <x:tableColumn id="17" name="repair_suggestion"/>
    <x:tableColumn id="18" name="repair_status"/>
    <x:tableColumn id="19" name="reviewer"/>
    <x:tableColumn id="20" name="reviewed_at"/>
    <x:tableColumn id="21" name="note"/>
    <x:tableColumn id="22" name="speaker_group"/>
    <x:tableColumn id="23" name="gender"/>
    <x:tableColumn id="24" name="age_years"/>
    <x:tableColumn id="25" name="region"/>
    <x:tableColumn id="26" name="question_number"/>
    <x:tableColumn id="27" name="source_folder"/>
    <x:tableColumn id="28" name="normalized_filename"/>
    <x:tableColumn id="29" name="file_extension"/>
    <x:tableColumn id="30" name="file_size_kb"/>
    <x:tableColumn id="31" name="modified_at"/>
    <x:tableColumn id="32" name="path_check"/>
    <x:tableColumn id="33" name="ai_transcript"/>
    <x:tableColumn id="34" name="ai_similarity"/>
    <x:tableColumn id="35" name="ai_word_coverage"/>
    <x:tableColumn id="36" name="ai_avg_logprob"/>
    <x:tableColumn id="37" name="ai_no_speech_prob"/>
    <x:tableColumn id="38" name="duration_sec"/>
    <x:tableColumn id="39" name="rms_dbfs"/>
    <x:tableColumn id="40" name="peak_dbfs"/>
    <x:tableColumn id="41" name="clipping_ratio"/>
    <x:tableColumn id="42" name="silence_ratio"/>
    <x:tableColumn id="43" name="sample_rate_hz"/>
    <x:tableColumn id="44" name="channels"/>
    <x:tableColumn id="45" name="decode_ok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iSentenceGuideTable" displayName="AiSentenceGuideTable" ref="A1:D21" headerRowCount="1" totalsRowCount="0" totalsRowShown="0">
  <x:tableColumns count="4">
    <x:tableColumn id="1" name="sentence_code"/>
    <x:tableColumn id="2" name="Câu hỏi / câu trẻ nói"/>
    <x:tableColumn id="3" name="Cách thực hiện"/>
    <x:tableColumn id="4" name="Ghi chú đánh giá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iPrecheckLogTable" displayName="AiPrecheckLogTable" ref="A1:F61" headerRowCount="1" totalsRowCount="0" totalsRowShown="0">
  <x:tableColumns count="6">
    <x:tableColumn id="1" name="timestamp"/>
    <x:tableColumn id="2" name="record_id"/>
    <x:tableColumn id="3" name="action"/>
    <x:tableColumn id="4" name="old_value"/>
    <x:tableColumn id="5" name="new_value"/>
    <x:tableColumn id="6" name="detai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3a16a5ac7394f1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b6cfcd84a0c412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903f16bfba7405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2" hidden="0" customWidth="1"/>
    <x:col min="3" max="3" width="14" hidden="0" customWidth="1"/>
    <x:col min="4" max="4" width="42" hidden="0" customWidth="1"/>
    <x:col min="5" max="5" width="12" hidden="0" customWidth="1"/>
    <x:col min="6" max="6" width="20" hidden="0" customWidth="1"/>
    <x:col min="7" max="7" width="20" hidden="0" customWidth="1"/>
    <x:col min="8" max="8" width="70" hidden="0" customWidth="1"/>
    <x:col min="9" max="9" width="25" hidden="0" customWidth="1"/>
    <x:col min="10" max="10" width="64" hidden="0" customWidth="1"/>
    <x:col min="11" max="11" width="11" hidden="0" customWidth="1"/>
    <x:col min="12" max="12" width="18" hidden="0" customWidth="1"/>
    <x:col min="13" max="13" width="22" hidden="0" customWidth="1"/>
    <x:col min="14" max="14" width="16" hidden="0" customWidth="1"/>
    <x:col min="15" max="15" width="30" hidden="0" customWidth="1"/>
    <x:col min="16" max="16" width="52" hidden="0" customWidth="1"/>
    <x:col min="17" max="17" width="48" hidden="0" customWidth="1"/>
    <x:col min="18" max="18" width="16" hidden="0" customWidth="1"/>
    <x:col min="19" max="19" width="34" hidden="0" customWidth="1"/>
    <x:col min="20" max="20" width="22" hidden="0" customWidth="1"/>
    <x:col min="21" max="21" width="58" hidden="0" customWidth="1"/>
    <x:col min="22" max="22" width="28" hidden="0" customWidth="1"/>
    <x:col min="23" max="23" width="12" hidden="0" customWidth="1"/>
    <x:col min="24" max="24" width="10" hidden="0" customWidth="1"/>
    <x:col min="25" max="25" width="14" hidden="0" customWidth="1"/>
    <x:col min="26" max="26" width="14" hidden="0" customWidth="1"/>
    <x:col min="27" max="27" width="46" hidden="0" customWidth="1"/>
    <x:col min="28" max="28" width="22" hidden="0" customWidth="1"/>
    <x:col min="29" max="29" width="12" hidden="0" customWidth="1"/>
    <x:col min="30" max="30" width="14" hidden="0" customWidth="1"/>
    <x:col min="31" max="31" width="22" hidden="0" customWidth="1"/>
    <x:col min="32" max="32" width="16" hidden="0" customWidth="1"/>
    <x:col min="33" max="33" width="48" hidden="0" customWidth="1"/>
    <x:col min="34" max="34" width="14" hidden="0" customWidth="1"/>
    <x:col min="35" max="35" width="16" hidden="0" customWidth="1"/>
    <x:col min="36" max="36" width="16" hidden="0" customWidth="1"/>
    <x:col min="37" max="37" width="16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6" hidden="0" customWidth="1"/>
    <x:col min="44" max="44" width="12" hidden="0" customWidth="1"/>
    <x:col min="45" max="45" width="12" hidden="0" customWidth="1"/>
  </x:cols>
  <x:sheetData>
    <x:row r="1" ht="36" customHeight="1">
      <x:c r="A1" s="6" t="str">
        <x:v>record_id</x:v>
      </x:c>
      <x:c r="B1" s="6" t="str">
        <x:v>batch_id</x:v>
      </x:c>
      <x:c r="C1" s="6" t="str">
        <x:v>sentence_code</x:v>
      </x:c>
      <x:c r="D1" s="6" t="str">
        <x:v>source_vi</x:v>
      </x:c>
      <x:c r="E1" s="6" t="str">
        <x:v>expected_en</x:v>
      </x:c>
      <x:c r="F1" s="6" t="str">
        <x:v>draft_filename</x:v>
      </x:c>
      <x:c r="G1" s="6" t="str">
        <x:v>official_filename</x:v>
      </x:c>
      <x:c r="H1" s="6" t="str">
        <x:v>local_audio_path</x:v>
      </x:c>
      <x:c r="I1" s="6" t="str">
        <x:v>audio_id</x:v>
      </x:c>
      <x:c r="J1" s="6" t="str">
        <x:v>audio_hash</x:v>
      </x:c>
      <x:c r="K1" s="6" t="str">
        <x:v>audio_version</x:v>
      </x:c>
      <x:c r="L1" s="6" t="str">
        <x:v>upload_status</x:v>
      </x:c>
      <x:c r="M1" s="6" t="str">
        <x:v>uploaded_at</x:v>
      </x:c>
      <x:c r="N1" s="6" t="str">
        <x:v>test_result</x:v>
      </x:c>
      <x:c r="O1" s="6" t="str">
        <x:v>error_categories</x:v>
      </x:c>
      <x:c r="P1" s="6" t="str">
        <x:v>observed_result</x:v>
      </x:c>
      <x:c r="Q1" s="6" t="str">
        <x:v>repair_suggestion</x:v>
      </x:c>
      <x:c r="R1" s="6" t="str">
        <x:v>repair_status</x:v>
      </x:c>
      <x:c r="S1" s="6" t="str">
        <x:v>reviewer</x:v>
      </x:c>
      <x:c r="T1" s="6" t="str">
        <x:v>reviewed_at</x:v>
      </x:c>
      <x:c r="U1" s="6" t="str">
        <x:v>note</x:v>
      </x:c>
      <x:c r="V1" s="6" t="str">
        <x:v>speaker_group</x:v>
      </x:c>
      <x:c r="W1" s="6" t="str">
        <x:v>gender</x:v>
      </x:c>
      <x:c r="X1" s="6" t="str">
        <x:v>age_years</x:v>
      </x:c>
      <x:c r="Y1" s="6" t="str">
        <x:v>region</x:v>
      </x:c>
      <x:c r="Z1" s="6" t="str">
        <x:v>question_number</x:v>
      </x:c>
      <x:c r="AA1" s="6" t="str">
        <x:v>source_folder</x:v>
      </x:c>
      <x:c r="AB1" s="6" t="str">
        <x:v>normalized_filename</x:v>
      </x:c>
      <x:c r="AC1" s="6" t="str">
        <x:v>file_extension</x:v>
      </x:c>
      <x:c r="AD1" s="6" t="str">
        <x:v>file_size_kb</x:v>
      </x:c>
      <x:c r="AE1" s="6" t="str">
        <x:v>modified_at</x:v>
      </x:c>
      <x:c r="AF1" s="6" t="str">
        <x:v>path_check</x:v>
      </x:c>
      <x:c r="AG1" s="6" t="str">
        <x:v>ai_transcript</x:v>
      </x:c>
      <x:c r="AH1" s="6" t="str">
        <x:v>ai_similarity</x:v>
      </x:c>
      <x:c r="AI1" s="6" t="str">
        <x:v>ai_word_coverage</x:v>
      </x:c>
      <x:c r="AJ1" s="6" t="str">
        <x:v>ai_avg_logprob</x:v>
      </x:c>
      <x:c r="AK1" s="6" t="str">
        <x:v>ai_no_speech_prob</x:v>
      </x:c>
      <x:c r="AL1" s="6" t="str">
        <x:v>duration_sec</x:v>
      </x:c>
      <x:c r="AM1" s="6" t="str">
        <x:v>rms_dbfs</x:v>
      </x:c>
      <x:c r="AN1" s="6" t="str">
        <x:v>peak_dbfs</x:v>
      </x:c>
      <x:c r="AO1" s="6" t="str">
        <x:v>clipping_ratio</x:v>
      </x:c>
      <x:c r="AP1" s="6" t="str">
        <x:v>silence_ratio</x:v>
      </x:c>
      <x:c r="AQ1" s="6" t="str">
        <x:v>sample_rate_hz</x:v>
      </x:c>
      <x:c r="AR1" s="6" t="str">
        <x:v>channels</x:v>
      </x:c>
      <x:c r="AS1" s="6" t="str">
        <x:v>decode_ok</x:v>
      </x:c>
    </x:row>
    <x:row r="2" ht="32" customHeight="1">
      <x:c r="A2" s="41" t="str">
        <x:v>AIV0-F14-S-Q001</x:v>
      </x:c>
      <x:c r="B2" s="41" t="str">
        <x:v>AIV0-F14-SOUTH</x:v>
      </x:c>
      <x:c r="C2" s="41" t="str">
        <x:v>Q001</x:v>
      </x:c>
      <x:c r="D2" s="32" t="str">
        <x:v>Con tên là Bé Mây.</x:v>
      </x:c>
      <x:c r="E2" s="15" t="str"/>
      <x:c r="F2" s="15" t="str">
        <x:v>Câu 1.m4a</x:v>
      </x:c>
      <x:c r="G2" s="15" t="str">
        <x:v>Câu 1.m4a</x:v>
      </x:c>
      <x:c r="H2" s="15" t="str">
        <x:v>C:\Users\Windows\Documents\DOCUMENTS DỰ ÁN SPEAKING AI\ÂM THANH SPEAKING AI\Bé gái 14 tuổi giọng nam\Bé gái 14 tuổi giọng nam\Câu 1.m4a</x:v>
      </x:c>
      <x:c r="I2" s="44" t="str">
        <x:v>local_e9190296eddf16e7</x:v>
      </x:c>
      <x:c r="J2" s="44" t="str">
        <x:v>e9190296eddf16e778bc89568fd3a61753a4c517518ec7e2b2d0aff832af429b</x:v>
      </x:c>
      <x:c r="K2" s="65" t="n">
        <x:v>1</x:v>
      </x:c>
      <x:c r="L2" s="44" t="str">
        <x:v>Đã ghép cục bộ</x:v>
      </x:c>
      <x:c r="M2" s="68" t="n">
        <x:v>46227.38112709491</x:v>
      </x:c>
      <x:c r="N2" s="45" t="str">
        <x:v>Đạt</x:v>
      </x:c>
      <x:c r="O2" s="35" t="str"/>
      <x:c r="P2" s="35" t="str">
        <x:v>AI nghe: "Con tên là Bé May"; khớp 100%; độ tin cậy -0.16; 2.32s; RMS -31.4 dBFS</x:v>
      </x:c>
      <x:c r="Q2" s="35" t="str">
        <x:v>AI nhận dạng khớp câu mẫu; người kiểm thử nghe xác nhận.</x:v>
      </x:c>
      <x:c r="R2" s="45" t="str">
        <x:v>Không cần sửa</x:v>
      </x:c>
      <x:c r="S2" s="44" t="str">
        <x:v>AI_PRECHECK_LARGE_V3_TURBO</x:v>
      </x:c>
      <x:c r="T2" s="68" t="n">
        <x:v>46227.38112709491</x:v>
      </x:c>
      <x:c r="U2" s="50" t="str">
        <x:v>Nói theo câu mẫu. Đối chiếu nội dung và độ rõ. Kết quả AI sơ bộ; cần người kiểm thử xác nhận.</x:v>
      </x:c>
      <x:c r="V2" s="51" t="str">
        <x:v>Nữ 14 tuổi - Miền Nam</x:v>
      </x:c>
      <x:c r="W2" s="51" t="str">
        <x:v>Nữ</x:v>
      </x:c>
      <x:c r="X2" s="71" t="n">
        <x:v>14</x:v>
      </x:c>
      <x:c r="Y2" s="51" t="str">
        <x:v>Miền Nam</x:v>
      </x:c>
      <x:c r="Z2" s="71" t="n">
        <x:v>1</x:v>
      </x:c>
      <x:c r="AA2" s="51" t="str">
        <x:v>Bé gái 14 tuổi giọng nam\Bé gái 14 tuổi giọng nam</x:v>
      </x:c>
      <x:c r="AB2" s="51" t="str">
        <x:v>F14-S-Q001.m4a</x:v>
      </x:c>
      <x:c r="AC2" s="51" t="str">
        <x:v>.m4a</x:v>
      </x:c>
      <x:c r="AD2" s="74" t="n">
        <x:v>22.7</x:v>
      </x:c>
      <x:c r="AE2" s="77" t="n">
        <x:v>46227.35765706019</x:v>
      </x:c>
      <x:c r="AF2" s="51" t="str">
        <x:v>Sẵn sàng</x:v>
      </x:c>
      <x:c r="AG2" s="52" t="str">
        <x:v>Con tên là Bé May</x:v>
      </x:c>
      <x:c r="AH2" s="80" t="n">
        <x:v>1</x:v>
      </x:c>
      <x:c r="AI2" s="80" t="n">
        <x:v>1</x:v>
      </x:c>
      <x:c r="AJ2" s="83" t="n">
        <x:v>-0.1595</x:v>
      </x:c>
      <x:c r="AK2" s="83" t="n">
        <x:v>0</x:v>
      </x:c>
      <x:c r="AL2" s="86" t="n">
        <x:v>2.324</x:v>
      </x:c>
      <x:c r="AM2" s="86" t="n">
        <x:v>-31.379359705213204</x:v>
      </x:c>
      <x:c r="AN2" s="86" t="n">
        <x:v>-17.086542010937332</x:v>
      </x:c>
      <x:c r="AO2" s="89" t="n">
        <x:v>0</x:v>
      </x:c>
      <x:c r="AP2" s="89" t="n">
        <x:v>0.46502079747561675</x:v>
      </x:c>
      <x:c r="AQ2" s="92" t="n">
        <x:v>48000</x:v>
      </x:c>
      <x:c r="AR2" s="92" t="n">
        <x:v>1</x:v>
      </x:c>
      <x:c r="AS2" s="54" t="b">
        <x:v>1</x:v>
      </x:c>
    </x:row>
    <x:row r="3" ht="32" customHeight="1">
      <x:c r="A3" s="42" t="str">
        <x:v>AIV0-F14-S-Q002</x:v>
      </x:c>
      <x:c r="B3" s="42" t="str">
        <x:v>AIV0-F14-SOUTH</x:v>
      </x:c>
      <x:c r="C3" s="42" t="str">
        <x:v>Q002</x:v>
      </x:c>
      <x:c r="D3" s="33" t="str">
        <x:v>Con 14 tuổi.</x:v>
      </x:c>
      <x:c r="E3" s="21" t="str"/>
      <x:c r="F3" s="21" t="str">
        <x:v>Câu 2.m4a</x:v>
      </x:c>
      <x:c r="G3" s="21" t="str">
        <x:v>Câu 2.m4a</x:v>
      </x:c>
      <x:c r="H3" s="21" t="str">
        <x:v>C:\Users\Windows\Documents\DOCUMENTS DỰ ÁN SPEAKING AI\ÂM THANH SPEAKING AI\Bé gái 14 tuổi giọng nam\Bé gái 14 tuổi giọng nam\Câu 2.m4a</x:v>
      </x:c>
      <x:c r="I3" s="46" t="str">
        <x:v>local_090762da408ecb1f</x:v>
      </x:c>
      <x:c r="J3" s="46" t="str">
        <x:v>090762da408ecb1fffc1d3337a6ce415c6cf2fd9f756af25566d89870018028e</x:v>
      </x:c>
      <x:c r="K3" s="66" t="n">
        <x:v>1</x:v>
      </x:c>
      <x:c r="L3" s="46" t="str">
        <x:v>Đã ghép cục bộ</x:v>
      </x:c>
      <x:c r="M3" s="69" t="n">
        <x:v>46227.38126023148</x:v>
      </x:c>
      <x:c r="N3" s="47" t="str">
        <x:v>Đạt</x:v>
      </x:c>
      <x:c r="O3" s="36" t="str"/>
      <x:c r="P3" s="36" t="str">
        <x:v>AI nghe: "Con 14 tuổi"; khớp 100%; độ tin cậy -0.21; 2.49s; RMS -30.1 dBFS</x:v>
      </x:c>
      <x:c r="Q3" s="36" t="str">
        <x:v>AI nhận dạng khớp câu mẫu; người kiểm thử nghe xác nhận.</x:v>
      </x:c>
      <x:c r="R3" s="47" t="str">
        <x:v>Không cần sửa</x:v>
      </x:c>
      <x:c r="S3" s="46" t="str">
        <x:v>AI_PRECHECK_LARGE_V3_TURBO</x:v>
      </x:c>
      <x:c r="T3" s="69" t="n">
        <x:v>46227.38126023148</x:v>
      </x:c>
      <x:c r="U3" s="55" t="str">
        <x:v>Nói theo câu mẫu. Đối chiếu nội dung và độ rõ. Kết quả AI sơ bộ; cần người kiểm thử xác nhận.</x:v>
      </x:c>
      <x:c r="V3" s="56" t="str">
        <x:v>Nữ 14 tuổi - Miền Nam</x:v>
      </x:c>
      <x:c r="W3" s="56" t="str">
        <x:v>Nữ</x:v>
      </x:c>
      <x:c r="X3" s="72" t="n">
        <x:v>14</x:v>
      </x:c>
      <x:c r="Y3" s="56" t="str">
        <x:v>Miền Nam</x:v>
      </x:c>
      <x:c r="Z3" s="72" t="n">
        <x:v>2</x:v>
      </x:c>
      <x:c r="AA3" s="56" t="str">
        <x:v>Bé gái 14 tuổi giọng nam\Bé gái 14 tuổi giọng nam</x:v>
      </x:c>
      <x:c r="AB3" s="56" t="str">
        <x:v>F14-S-Q002.m4a</x:v>
      </x:c>
      <x:c r="AC3" s="56" t="str">
        <x:v>.m4a</x:v>
      </x:c>
      <x:c r="AD3" s="75" t="n">
        <x:v>23.7</x:v>
      </x:c>
      <x:c r="AE3" s="78" t="n">
        <x:v>46227.35769670139</x:v>
      </x:c>
      <x:c r="AF3" s="56" t="str">
        <x:v>Sẵn sàng</x:v>
      </x:c>
      <x:c r="AG3" s="57" t="str">
        <x:v>Con 14 tuổi</x:v>
      </x:c>
      <x:c r="AH3" s="81" t="n">
        <x:v>1</x:v>
      </x:c>
      <x:c r="AI3" s="81" t="n">
        <x:v>1</x:v>
      </x:c>
      <x:c r="AJ3" s="84" t="n">
        <x:v>-0.2133</x:v>
      </x:c>
      <x:c r="AK3" s="84" t="n">
        <x:v>0</x:v>
      </x:c>
      <x:c r="AL3" s="87" t="n">
        <x:v>2.494666666666667</x:v>
      </x:c>
      <x:c r="AM3" s="87" t="n">
        <x:v>-30.128626649789112</x:v>
      </x:c>
      <x:c r="AN3" s="87" t="n">
        <x:v>-14.50230495518044</x:v>
      </x:c>
      <x:c r="AO3" s="90" t="n">
        <x:v>0</x:v>
      </x:c>
      <x:c r="AP3" s="90" t="n">
        <x:v>0.5566374933190807</x:v>
      </x:c>
      <x:c r="AQ3" s="93" t="n">
        <x:v>48000</x:v>
      </x:c>
      <x:c r="AR3" s="93" t="n">
        <x:v>1</x:v>
      </x:c>
      <x:c r="AS3" s="59" t="b">
        <x:v>1</x:v>
      </x:c>
    </x:row>
    <x:row r="4" ht="32" customHeight="1">
      <x:c r="A4" s="42" t="str">
        <x:v>AIV0-F14-S-Q003</x:v>
      </x:c>
      <x:c r="B4" s="42" t="str">
        <x:v>AIV0-F14-SOUTH</x:v>
      </x:c>
      <x:c r="C4" s="42" t="str">
        <x:v>Q003</x:v>
      </x:c>
      <x:c r="D4" s="33" t="str">
        <x:v>Hôm nay con rất vui.</x:v>
      </x:c>
      <x:c r="E4" s="21" t="str"/>
      <x:c r="F4" s="21" t="str">
        <x:v>Câu 3.m4a</x:v>
      </x:c>
      <x:c r="G4" s="21" t="str">
        <x:v>Câu 3.m4a</x:v>
      </x:c>
      <x:c r="H4" s="21" t="str">
        <x:v>C:\Users\Windows\Documents\DOCUMENTS DỰ ÁN SPEAKING AI\ÂM THANH SPEAKING AI\Bé gái 14 tuổi giọng nam\Bé gái 14 tuổi giọng nam\Câu 3.m4a</x:v>
      </x:c>
      <x:c r="I4" s="46" t="str">
        <x:v>local_8731b9cdead88f98</x:v>
      </x:c>
      <x:c r="J4" s="46" t="str">
        <x:v>8731b9cdead88f9816b4b450996f34f348c0d54ad8afe84ee40652e80739a42a</x:v>
      </x:c>
      <x:c r="K4" s="66" t="n">
        <x:v>1</x:v>
      </x:c>
      <x:c r="L4" s="46" t="str">
        <x:v>Đã ghép cục bộ</x:v>
      </x:c>
      <x:c r="M4" s="69" t="n">
        <x:v>46227.38138407408</x:v>
      </x:c>
      <x:c r="N4" s="47" t="str">
        <x:v>Đạt</x:v>
      </x:c>
      <x:c r="O4" s="36" t="str"/>
      <x:c r="P4" s="36" t="str">
        <x:v>AI nghe: "Hôm nay con rất vui."; khớp 100%; độ tin cậy -0.15; 2.75s; RMS -30.2 dBFS</x:v>
      </x:c>
      <x:c r="Q4" s="36" t="str">
        <x:v>AI nhận dạng khớp câu mẫu; người kiểm thử nghe xác nhận.</x:v>
      </x:c>
      <x:c r="R4" s="47" t="str">
        <x:v>Không cần sửa</x:v>
      </x:c>
      <x:c r="S4" s="46" t="str">
        <x:v>AI_PRECHECK_LARGE_V3_TURBO</x:v>
      </x:c>
      <x:c r="T4" s="69" t="n">
        <x:v>46227.381384085646</x:v>
      </x:c>
      <x:c r="U4" s="55" t="str">
        <x:v>Nói theo câu mẫu. Đối chiếu nội dung và độ rõ. Kết quả AI sơ bộ; cần người kiểm thử xác nhận.</x:v>
      </x:c>
      <x:c r="V4" s="56" t="str">
        <x:v>Nữ 14 tuổi - Miền Nam</x:v>
      </x:c>
      <x:c r="W4" s="56" t="str">
        <x:v>Nữ</x:v>
      </x:c>
      <x:c r="X4" s="72" t="n">
        <x:v>14</x:v>
      </x:c>
      <x:c r="Y4" s="56" t="str">
        <x:v>Miền Nam</x:v>
      </x:c>
      <x:c r="Z4" s="72" t="n">
        <x:v>3</x:v>
      </x:c>
      <x:c r="AA4" s="56" t="str">
        <x:v>Bé gái 14 tuổi giọng nam\Bé gái 14 tuổi giọng nam</x:v>
      </x:c>
      <x:c r="AB4" s="56" t="str">
        <x:v>F14-S-Q003.m4a</x:v>
      </x:c>
      <x:c r="AC4" s="56" t="str">
        <x:v>.m4a</x:v>
      </x:c>
      <x:c r="AD4" s="75" t="n">
        <x:v>26.5</x:v>
      </x:c>
      <x:c r="AE4" s="78" t="n">
        <x:v>46227.35770530093</x:v>
      </x:c>
      <x:c r="AF4" s="56" t="str">
        <x:v>Sẵn sàng</x:v>
      </x:c>
      <x:c r="AG4" s="57" t="str">
        <x:v>Hôm nay con rất vui.</x:v>
      </x:c>
      <x:c r="AH4" s="81" t="n">
        <x:v>1</x:v>
      </x:c>
      <x:c r="AI4" s="81" t="n">
        <x:v>1</x:v>
      </x:c>
      <x:c r="AJ4" s="84" t="n">
        <x:v>-0.1533</x:v>
      </x:c>
      <x:c r="AK4" s="84" t="n">
        <x:v>0</x:v>
      </x:c>
      <x:c r="AL4" s="87" t="n">
        <x:v>2.7506666666666666</x:v>
      </x:c>
      <x:c r="AM4" s="87" t="n">
        <x:v>-30.159358189074275</x:v>
      </x:c>
      <x:c r="AN4" s="87" t="n">
        <x:v>-14.987289695069975</x:v>
      </x:c>
      <x:c r="AO4" s="90" t="n">
        <x:v>0</x:v>
      </x:c>
      <x:c r="AP4" s="90" t="n">
        <x:v>0.5166853490063015</x:v>
      </x:c>
      <x:c r="AQ4" s="93" t="n">
        <x:v>48000</x:v>
      </x:c>
      <x:c r="AR4" s="93" t="n">
        <x:v>1</x:v>
      </x:c>
      <x:c r="AS4" s="59" t="b">
        <x:v>1</x:v>
      </x:c>
    </x:row>
    <x:row r="5" ht="32" customHeight="1">
      <x:c r="A5" s="42" t="str">
        <x:v>AIV0-F14-S-Q004</x:v>
      </x:c>
      <x:c r="B5" s="42" t="str">
        <x:v>AIV0-F14-SOUTH</x:v>
      </x:c>
      <x:c r="C5" s="42" t="str">
        <x:v>Q004</x:v>
      </x:c>
      <x:c r="D5" s="33" t="str">
        <x:v>Con muốn uống nước.</x:v>
      </x:c>
      <x:c r="E5" s="21" t="str"/>
      <x:c r="F5" s="21" t="str">
        <x:v>Câu 4.m4a</x:v>
      </x:c>
      <x:c r="G5" s="21" t="str">
        <x:v>Câu 4.m4a</x:v>
      </x:c>
      <x:c r="H5" s="21" t="str">
        <x:v>C:\Users\Windows\Documents\DOCUMENTS DỰ ÁN SPEAKING AI\ÂM THANH SPEAKING AI\Bé gái 14 tuổi giọng nam\Bé gái 14 tuổi giọng nam\Câu 4.m4a</x:v>
      </x:c>
      <x:c r="I5" s="46" t="str">
        <x:v>local_868034448995c89a</x:v>
      </x:c>
      <x:c r="J5" s="46" t="str">
        <x:v>868034448995c89ac74acc95bdc2896b010c5b88b34cc813bb721f04b6043daa</x:v>
      </x:c>
      <x:c r="K5" s="66" t="n">
        <x:v>1</x:v>
      </x:c>
      <x:c r="L5" s="46" t="str">
        <x:v>Đã ghép cục bộ</x:v>
      </x:c>
      <x:c r="M5" s="69" t="n">
        <x:v>46227.381497511575</x:v>
      </x:c>
      <x:c r="N5" s="47" t="str">
        <x:v>Đạt</x:v>
      </x:c>
      <x:c r="O5" s="36" t="str"/>
      <x:c r="P5" s="36" t="str">
        <x:v>AI nghe: "Con muốn uống nước"; khớp 100%; độ tin cậy -0.33; 2.24s; RMS -27.5 dBFS</x:v>
      </x:c>
      <x:c r="Q5" s="36" t="str">
        <x:v>AI nhận dạng khớp câu mẫu; người kiểm thử nghe xác nhận.</x:v>
      </x:c>
      <x:c r="R5" s="47" t="str">
        <x:v>Không cần sửa</x:v>
      </x:c>
      <x:c r="S5" s="46" t="str">
        <x:v>AI_PRECHECK_LARGE_V3_TURBO</x:v>
      </x:c>
      <x:c r="T5" s="69" t="n">
        <x:v>46227.381497511575</x:v>
      </x:c>
      <x:c r="U5" s="55" t="str">
        <x:v>Nói theo câu mẫu. Đối chiếu nội dung và độ rõ. Kết quả AI sơ bộ; cần người kiểm thử xác nhận.</x:v>
      </x:c>
      <x:c r="V5" s="56" t="str">
        <x:v>Nữ 14 tuổi - Miền Nam</x:v>
      </x:c>
      <x:c r="W5" s="56" t="str">
        <x:v>Nữ</x:v>
      </x:c>
      <x:c r="X5" s="72" t="n">
        <x:v>14</x:v>
      </x:c>
      <x:c r="Y5" s="56" t="str">
        <x:v>Miền Nam</x:v>
      </x:c>
      <x:c r="Z5" s="72" t="n">
        <x:v>4</x:v>
      </x:c>
      <x:c r="AA5" s="56" t="str">
        <x:v>Bé gái 14 tuổi giọng nam\Bé gái 14 tuổi giọng nam</x:v>
      </x:c>
      <x:c r="AB5" s="56" t="str">
        <x:v>F14-S-Q004.m4a</x:v>
      </x:c>
      <x:c r="AC5" s="56" t="str">
        <x:v>.m4a</x:v>
      </x:c>
      <x:c r="AD5" s="75" t="n">
        <x:v>22</x:v>
      </x:c>
      <x:c r="AE5" s="78" t="n">
        <x:v>46227.357721747685</x:v>
      </x:c>
      <x:c r="AF5" s="56" t="str">
        <x:v>Sẵn sàng</x:v>
      </x:c>
      <x:c r="AG5" s="57" t="str">
        <x:v>Con muốn uống nước</x:v>
      </x:c>
      <x:c r="AH5" s="81" t="n">
        <x:v>1</x:v>
      </x:c>
      <x:c r="AI5" s="81" t="n">
        <x:v>1</x:v>
      </x:c>
      <x:c r="AJ5" s="84" t="n">
        <x:v>-0.3327</x:v>
      </x:c>
      <x:c r="AK5" s="84" t="n">
        <x:v>0</x:v>
      </x:c>
      <x:c r="AL5" s="87" t="n">
        <x:v>2.2386666666666666</x:v>
      </x:c>
      <x:c r="AM5" s="87" t="n">
        <x:v>-27.533175521435346</x:v>
      </x:c>
      <x:c r="AN5" s="87" t="n">
        <x:v>-13.874128685211266</x:v>
      </x:c>
      <x:c r="AO5" s="90" t="n">
        <x:v>0</x:v>
      </x:c>
      <x:c r="AP5" s="90" t="n">
        <x:v>0.46740991661703396</x:v>
      </x:c>
      <x:c r="AQ5" s="93" t="n">
        <x:v>48000</x:v>
      </x:c>
      <x:c r="AR5" s="93" t="n">
        <x:v>1</x:v>
      </x:c>
      <x:c r="AS5" s="59" t="b">
        <x:v>1</x:v>
      </x:c>
    </x:row>
    <x:row r="6" ht="32" customHeight="1">
      <x:c r="A6" s="42" t="str">
        <x:v>AIV0-F14-S-Q005</x:v>
      </x:c>
      <x:c r="B6" s="42" t="str">
        <x:v>AIV0-F14-SOUTH</x:v>
      </x:c>
      <x:c r="C6" s="42" t="str">
        <x:v>Q005</x:v>
      </x:c>
      <x:c r="D6" s="33" t="str">
        <x:v>Con thích màu đỏ.</x:v>
      </x:c>
      <x:c r="E6" s="21" t="str"/>
      <x:c r="F6" s="21" t="str">
        <x:v>Câu 5.m4a</x:v>
      </x:c>
      <x:c r="G6" s="21" t="str">
        <x:v>Câu 5.m4a</x:v>
      </x:c>
      <x:c r="H6" s="21" t="str">
        <x:v>C:\Users\Windows\Documents\DOCUMENTS DỰ ÁN SPEAKING AI\ÂM THANH SPEAKING AI\Bé gái 14 tuổi giọng nam\Bé gái 14 tuổi giọng nam\Câu 5.m4a</x:v>
      </x:c>
      <x:c r="I6" s="46" t="str">
        <x:v>local_7d59ad2a0853791c</x:v>
      </x:c>
      <x:c r="J6" s="46" t="str">
        <x:v>7d59ad2a0853791c72e09cc56ff891d1c2ab8918e75b10a34afe639bee59dfce</x:v>
      </x:c>
      <x:c r="K6" s="66" t="n">
        <x:v>1</x:v>
      </x:c>
      <x:c r="L6" s="46" t="str">
        <x:v>Đã ghép cục bộ</x:v>
      </x:c>
      <x:c r="M6" s="69" t="n">
        <x:v>46227.38161670139</x:v>
      </x:c>
      <x:c r="N6" s="47" t="str">
        <x:v>Đạt</x:v>
      </x:c>
      <x:c r="O6" s="36" t="str"/>
      <x:c r="P6" s="36" t="str">
        <x:v>AI nghe: "Con thích màu đỏ"; khớp 100%; độ tin cậy -0.12; 1.90s; RMS -32.2 dBFS</x:v>
      </x:c>
      <x:c r="Q6" s="36" t="str">
        <x:v>AI nhận dạng khớp câu mẫu; người kiểm thử nghe xác nhận.</x:v>
      </x:c>
      <x:c r="R6" s="47" t="str">
        <x:v>Không cần sửa</x:v>
      </x:c>
      <x:c r="S6" s="46" t="str">
        <x:v>AI_PRECHECK_LARGE_V3_TURBO</x:v>
      </x:c>
      <x:c r="T6" s="69" t="n">
        <x:v>46227.38161670139</x:v>
      </x:c>
      <x:c r="U6" s="55" t="str">
        <x:v>Nói theo câu mẫu. Đối chiếu nội dung và độ rõ. Kết quả AI sơ bộ; cần người kiểm thử xác nhận.</x:v>
      </x:c>
      <x:c r="V6" s="56" t="str">
        <x:v>Nữ 14 tuổi - Miền Nam</x:v>
      </x:c>
      <x:c r="W6" s="56" t="str">
        <x:v>Nữ</x:v>
      </x:c>
      <x:c r="X6" s="72" t="n">
        <x:v>14</x:v>
      </x:c>
      <x:c r="Y6" s="56" t="str">
        <x:v>Miền Nam</x:v>
      </x:c>
      <x:c r="Z6" s="72" t="n">
        <x:v>5</x:v>
      </x:c>
      <x:c r="AA6" s="56" t="str">
        <x:v>Bé gái 14 tuổi giọng nam\Bé gái 14 tuổi giọng nam</x:v>
      </x:c>
      <x:c r="AB6" s="56" t="str">
        <x:v>F14-S-Q005.m4a</x:v>
      </x:c>
      <x:c r="AC6" s="56" t="str">
        <x:v>.m4a</x:v>
      </x:c>
      <x:c r="AD6" s="75" t="n">
        <x:v>18.7</x:v>
      </x:c>
      <x:c r="AE6" s="78" t="n">
        <x:v>46227.35773159722</x:v>
      </x:c>
      <x:c r="AF6" s="56" t="str">
        <x:v>Sẵn sàng</x:v>
      </x:c>
      <x:c r="AG6" s="57" t="str">
        <x:v>Con thích màu đỏ</x:v>
      </x:c>
      <x:c r="AH6" s="81" t="n">
        <x:v>1</x:v>
      </x:c>
      <x:c r="AI6" s="81" t="n">
        <x:v>1</x:v>
      </x:c>
      <x:c r="AJ6" s="84" t="n">
        <x:v>-0.1164</x:v>
      </x:c>
      <x:c r="AK6" s="84" t="n">
        <x:v>0</x:v>
      </x:c>
      <x:c r="AL6" s="87" t="n">
        <x:v>1.8973333333333333</x:v>
      </x:c>
      <x:c r="AM6" s="87" t="n">
        <x:v>-32.1604381813443</x:v>
      </x:c>
      <x:c r="AN6" s="87" t="n">
        <x:v>-16.250198342563497</x:v>
      </x:c>
      <x:c r="AO6" s="90" t="n">
        <x:v>0</x:v>
      </x:c>
      <x:c r="AP6" s="90" t="n">
        <x:v>0.5013835207308504</x:v>
      </x:c>
      <x:c r="AQ6" s="93" t="n">
        <x:v>48000</x:v>
      </x:c>
      <x:c r="AR6" s="93" t="n">
        <x:v>1</x:v>
      </x:c>
      <x:c r="AS6" s="59" t="b">
        <x:v>1</x:v>
      </x:c>
    </x:row>
    <x:row r="7" ht="32" customHeight="1">
      <x:c r="A7" s="42" t="str">
        <x:v>AIV0-F14-S-Q006</x:v>
      </x:c>
      <x:c r="B7" s="42" t="str">
        <x:v>AIV0-F14-SOUTH</x:v>
      </x:c>
      <x:c r="C7" s="42" t="str">
        <x:v>Q006</x:v>
      </x:c>
      <x:c r="D7" s="33" t="str">
        <x:v>Con thích ăn cơm.</x:v>
      </x:c>
      <x:c r="E7" s="21" t="str"/>
      <x:c r="F7" s="21" t="str">
        <x:v>Câu 6.m4a</x:v>
      </x:c>
      <x:c r="G7" s="21" t="str">
        <x:v>Câu 6.m4a</x:v>
      </x:c>
      <x:c r="H7" s="21" t="str">
        <x:v>C:\Users\Windows\Documents\DOCUMENTS DỰ ÁN SPEAKING AI\ÂM THANH SPEAKING AI\Bé gái 14 tuổi giọng nam\Bé gái 14 tuổi giọng nam\Câu 6.m4a</x:v>
      </x:c>
      <x:c r="I7" s="46" t="str">
        <x:v>local_bf7646088bde110d</x:v>
      </x:c>
      <x:c r="J7" s="46" t="str">
        <x:v>bf7646088bde110d1a1fe09db080a55c0d84c3c539646456b48f248956bb79c2</x:v>
      </x:c>
      <x:c r="K7" s="66" t="n">
        <x:v>1</x:v>
      </x:c>
      <x:c r="L7" s="46" t="str">
        <x:v>Đã ghép cục bộ</x:v>
      </x:c>
      <x:c r="M7" s="69" t="n">
        <x:v>46227.381732905094</x:v>
      </x:c>
      <x:c r="N7" s="47" t="str">
        <x:v>Đạt</x:v>
      </x:c>
      <x:c r="O7" s="36" t="str"/>
      <x:c r="P7" s="36" t="str">
        <x:v>AI nghe: "Con thích ăn cơm"; khớp 100%; độ tin cậy -0.17; 2.07s; RMS -31.4 dBFS</x:v>
      </x:c>
      <x:c r="Q7" s="36" t="str">
        <x:v>AI nhận dạng khớp câu mẫu; người kiểm thử nghe xác nhận.</x:v>
      </x:c>
      <x:c r="R7" s="47" t="str">
        <x:v>Không cần sửa</x:v>
      </x:c>
      <x:c r="S7" s="46" t="str">
        <x:v>AI_PRECHECK_LARGE_V3_TURBO</x:v>
      </x:c>
      <x:c r="T7" s="69" t="n">
        <x:v>46227.381732905094</x:v>
      </x:c>
      <x:c r="U7" s="55" t="str">
        <x:v>Nói theo câu mẫu. Đối chiếu nội dung và độ rõ. Kết quả AI sơ bộ; cần người kiểm thử xác nhận.</x:v>
      </x:c>
      <x:c r="V7" s="56" t="str">
        <x:v>Nữ 14 tuổi - Miền Nam</x:v>
      </x:c>
      <x:c r="W7" s="56" t="str">
        <x:v>Nữ</x:v>
      </x:c>
      <x:c r="X7" s="72" t="n">
        <x:v>14</x:v>
      </x:c>
      <x:c r="Y7" s="56" t="str">
        <x:v>Miền Nam</x:v>
      </x:c>
      <x:c r="Z7" s="72" t="n">
        <x:v>6</x:v>
      </x:c>
      <x:c r="AA7" s="56" t="str">
        <x:v>Bé gái 14 tuổi giọng nam\Bé gái 14 tuổi giọng nam</x:v>
      </x:c>
      <x:c r="AB7" s="56" t="str">
        <x:v>F14-S-Q006.m4a</x:v>
      </x:c>
      <x:c r="AC7" s="56" t="str">
        <x:v>.m4a</x:v>
      </x:c>
      <x:c r="AD7" s="75" t="n">
        <x:v>20.4</x:v>
      </x:c>
      <x:c r="AE7" s="78" t="n">
        <x:v>46227.35774146991</x:v>
      </x:c>
      <x:c r="AF7" s="56" t="str">
        <x:v>Sẵn sàng</x:v>
      </x:c>
      <x:c r="AG7" s="57" t="str">
        <x:v>Con thích ăn cơm</x:v>
      </x:c>
      <x:c r="AH7" s="81" t="n">
        <x:v>1</x:v>
      </x:c>
      <x:c r="AI7" s="81" t="n">
        <x:v>1</x:v>
      </x:c>
      <x:c r="AJ7" s="84" t="n">
        <x:v>-0.1677</x:v>
      </x:c>
      <x:c r="AK7" s="84" t="n">
        <x:v>0</x:v>
      </x:c>
      <x:c r="AL7" s="87" t="n">
        <x:v>2.068</x:v>
      </x:c>
      <x:c r="AM7" s="87" t="n">
        <x:v>-31.39711548394038</x:v>
      </x:c>
      <x:c r="AN7" s="87" t="n">
        <x:v>-15.756851276038681</x:v>
      </x:c>
      <x:c r="AO7" s="90" t="n">
        <x:v>0</x:v>
      </x:c>
      <x:c r="AP7" s="90" t="n">
        <x:v>0.5486077530625403</x:v>
      </x:c>
      <x:c r="AQ7" s="93" t="n">
        <x:v>48000</x:v>
      </x:c>
      <x:c r="AR7" s="93" t="n">
        <x:v>1</x:v>
      </x:c>
      <x:c r="AS7" s="59" t="b">
        <x:v>1</x:v>
      </x:c>
    </x:row>
    <x:row r="8" ht="32" customHeight="1">
      <x:c r="A8" s="42" t="str">
        <x:v>AIV0-F14-S-Q007</x:v>
      </x:c>
      <x:c r="B8" s="42" t="str">
        <x:v>AIV0-F14-SOUTH</x:v>
      </x:c>
      <x:c r="C8" s="42" t="str">
        <x:v>Q007</x:v>
      </x:c>
      <x:c r="D8" s="33" t="str">
        <x:v>Con muốn chơi với bạn.</x:v>
      </x:c>
      <x:c r="E8" s="21" t="str"/>
      <x:c r="F8" s="21" t="str">
        <x:v>Câu 7.m4a</x:v>
      </x:c>
      <x:c r="G8" s="21" t="str">
        <x:v>Câu 7.m4a</x:v>
      </x:c>
      <x:c r="H8" s="21" t="str">
        <x:v>C:\Users\Windows\Documents\DOCUMENTS DỰ ÁN SPEAKING AI\ÂM THANH SPEAKING AI\Bé gái 14 tuổi giọng nam\Bé gái 14 tuổi giọng nam\Câu 7.m4a</x:v>
      </x:c>
      <x:c r="I8" s="46" t="str">
        <x:v>local_b3576544da3410c2</x:v>
      </x:c>
      <x:c r="J8" s="46" t="str">
        <x:v>b3576544da3410c289c01be5d76d37b18109590148b4e31dd642c47141b1d7ce</x:v>
      </x:c>
      <x:c r="K8" s="66" t="n">
        <x:v>1</x:v>
      </x:c>
      <x:c r="L8" s="46" t="str">
        <x:v>Đã ghép cục bộ</x:v>
      </x:c>
      <x:c r="M8" s="69" t="n">
        <x:v>46227.381850833335</x:v>
      </x:c>
      <x:c r="N8" s="47" t="str">
        <x:v>Đạt</x:v>
      </x:c>
      <x:c r="O8" s="36" t="str"/>
      <x:c r="P8" s="36" t="str">
        <x:v>AI nghe: "Con muốn chơi với bạn"; khớp 100%; độ tin cậy -0.17; 2.75s; RMS -29.5 dBFS</x:v>
      </x:c>
      <x:c r="Q8" s="36" t="str">
        <x:v>AI nhận dạng khớp câu mẫu; người kiểm thử nghe xác nhận.</x:v>
      </x:c>
      <x:c r="R8" s="47" t="str">
        <x:v>Không cần sửa</x:v>
      </x:c>
      <x:c r="S8" s="46" t="str">
        <x:v>AI_PRECHECK_LARGE_V3_TURBO</x:v>
      </x:c>
      <x:c r="T8" s="69" t="n">
        <x:v>46227.381850833335</x:v>
      </x:c>
      <x:c r="U8" s="55" t="str">
        <x:v>Nói theo câu mẫu. Đối chiếu nội dung và độ rõ. Kết quả AI sơ bộ; cần người kiểm thử xác nhận.</x:v>
      </x:c>
      <x:c r="V8" s="56" t="str">
        <x:v>Nữ 14 tuổi - Miền Nam</x:v>
      </x:c>
      <x:c r="W8" s="56" t="str">
        <x:v>Nữ</x:v>
      </x:c>
      <x:c r="X8" s="72" t="n">
        <x:v>14</x:v>
      </x:c>
      <x:c r="Y8" s="56" t="str">
        <x:v>Miền Nam</x:v>
      </x:c>
      <x:c r="Z8" s="72" t="n">
        <x:v>7</x:v>
      </x:c>
      <x:c r="AA8" s="56" t="str">
        <x:v>Bé gái 14 tuổi giọng nam\Bé gái 14 tuổi giọng nam</x:v>
      </x:c>
      <x:c r="AB8" s="56" t="str">
        <x:v>F14-S-Q007.m4a</x:v>
      </x:c>
      <x:c r="AC8" s="56" t="str">
        <x:v>.m4a</x:v>
      </x:c>
      <x:c r="AD8" s="75" t="n">
        <x:v>26.5</x:v>
      </x:c>
      <x:c r="AE8" s="78" t="n">
        <x:v>46227.357765625</x:v>
      </x:c>
      <x:c r="AF8" s="56" t="str">
        <x:v>Sẵn sàng</x:v>
      </x:c>
      <x:c r="AG8" s="57" t="str">
        <x:v>Con muốn chơi với bạn</x:v>
      </x:c>
      <x:c r="AH8" s="81" t="n">
        <x:v>1</x:v>
      </x:c>
      <x:c r="AI8" s="81" t="n">
        <x:v>1</x:v>
      </x:c>
      <x:c r="AJ8" s="84" t="n">
        <x:v>-0.1655</x:v>
      </x:c>
      <x:c r="AK8" s="84" t="n">
        <x:v>0</x:v>
      </x:c>
      <x:c r="AL8" s="87" t="n">
        <x:v>2.7506666666666666</x:v>
      </x:c>
      <x:c r="AM8" s="87" t="n">
        <x:v>-29.509524163707002</x:v>
      </x:c>
      <x:c r="AN8" s="87" t="n">
        <x:v>-14.836748387623356</x:v>
      </x:c>
      <x:c r="AO8" s="90" t="n">
        <x:v>0</x:v>
      </x:c>
      <x:c r="AP8" s="90" t="n">
        <x:v>0.4697876272418808</x:v>
      </x:c>
      <x:c r="AQ8" s="93" t="n">
        <x:v>48000</x:v>
      </x:c>
      <x:c r="AR8" s="93" t="n">
        <x:v>1</x:v>
      </x:c>
      <x:c r="AS8" s="59" t="b">
        <x:v>1</x:v>
      </x:c>
    </x:row>
    <x:row r="9" ht="32" customHeight="1">
      <x:c r="A9" s="42" t="str">
        <x:v>AIV0-F14-S-Q008</x:v>
      </x:c>
      <x:c r="B9" s="42" t="str">
        <x:v>AIV0-F14-SOUTH</x:v>
      </x:c>
      <x:c r="C9" s="42" t="str">
        <x:v>Q008</x:v>
      </x:c>
      <x:c r="D9" s="33" t="str">
        <x:v>Con không hiểu.</x:v>
      </x:c>
      <x:c r="E9" s="21" t="str"/>
      <x:c r="F9" s="21" t="str">
        <x:v>Câu 8.m4a</x:v>
      </x:c>
      <x:c r="G9" s="21" t="str">
        <x:v>Câu 8.m4a</x:v>
      </x:c>
      <x:c r="H9" s="21" t="str">
        <x:v>C:\Users\Windows\Documents\DOCUMENTS DỰ ÁN SPEAKING AI\ÂM THANH SPEAKING AI\Bé gái 14 tuổi giọng nam\Bé gái 14 tuổi giọng nam\Câu 8.m4a</x:v>
      </x:c>
      <x:c r="I9" s="46" t="str">
        <x:v>local_bdd33eae2497dac9</x:v>
      </x:c>
      <x:c r="J9" s="46" t="str">
        <x:v>bdd33eae2497dac97a87b183691c9907204a3466c08b2cc61652465732ee24a0</x:v>
      </x:c>
      <x:c r="K9" s="66" t="n">
        <x:v>1</x:v>
      </x:c>
      <x:c r="L9" s="46" t="str">
        <x:v>Đã ghép cục bộ</x:v>
      </x:c>
      <x:c r="M9" s="69" t="n">
        <x:v>46227.381969155096</x:v>
      </x:c>
      <x:c r="N9" s="47" t="str">
        <x:v>Đạt</x:v>
      </x:c>
      <x:c r="O9" s="36" t="str"/>
      <x:c r="P9" s="36" t="str">
        <x:v>AI nghe: "Con không hiểu"; khớp 100%; độ tin cậy -0.21; 1.98s; RMS -33.3 dBFS</x:v>
      </x:c>
      <x:c r="Q9" s="36" t="str">
        <x:v>AI nhận dạng khớp câu mẫu; người kiểm thử nghe xác nhận.</x:v>
      </x:c>
      <x:c r="R9" s="47" t="str">
        <x:v>Không cần sửa</x:v>
      </x:c>
      <x:c r="S9" s="46" t="str">
        <x:v>AI_PRECHECK_LARGE_V3_TURBO</x:v>
      </x:c>
      <x:c r="T9" s="69" t="n">
        <x:v>46227.381969155096</x:v>
      </x:c>
      <x:c r="U9" s="55" t="str">
        <x:v>Nói theo câu mẫu. Đối chiếu nội dung và độ rõ. Kết quả AI sơ bộ; cần người kiểm thử xác nhận.</x:v>
      </x:c>
      <x:c r="V9" s="56" t="str">
        <x:v>Nữ 14 tuổi - Miền Nam</x:v>
      </x:c>
      <x:c r="W9" s="56" t="str">
        <x:v>Nữ</x:v>
      </x:c>
      <x:c r="X9" s="72" t="n">
        <x:v>14</x:v>
      </x:c>
      <x:c r="Y9" s="56" t="str">
        <x:v>Miền Nam</x:v>
      </x:c>
      <x:c r="Z9" s="72" t="n">
        <x:v>8</x:v>
      </x:c>
      <x:c r="AA9" s="56" t="str">
        <x:v>Bé gái 14 tuổi giọng nam\Bé gái 14 tuổi giọng nam</x:v>
      </x:c>
      <x:c r="AB9" s="56" t="str">
        <x:v>F14-S-Q008.m4a</x:v>
      </x:c>
      <x:c r="AC9" s="56" t="str">
        <x:v>.m4a</x:v>
      </x:c>
      <x:c r="AD9" s="75" t="n">
        <x:v>19.7</x:v>
      </x:c>
      <x:c r="AE9" s="78" t="n">
        <x:v>46227.35777383102</x:v>
      </x:c>
      <x:c r="AF9" s="56" t="str">
        <x:v>Sẵn sàng</x:v>
      </x:c>
      <x:c r="AG9" s="57" t="str">
        <x:v>Con không hiểu</x:v>
      </x:c>
      <x:c r="AH9" s="81" t="n">
        <x:v>1</x:v>
      </x:c>
      <x:c r="AI9" s="81" t="n">
        <x:v>1</x:v>
      </x:c>
      <x:c r="AJ9" s="84" t="n">
        <x:v>-0.2105</x:v>
      </x:c>
      <x:c r="AK9" s="84" t="n">
        <x:v>0</x:v>
      </x:c>
      <x:c r="AL9" s="87" t="n">
        <x:v>1.9826666666666666</x:v>
      </x:c>
      <x:c r="AM9" s="87" t="n">
        <x:v>-33.32087212518509</x:v>
      </x:c>
      <x:c r="AN9" s="87" t="n">
        <x:v>-17.497565956988684</x:v>
      </x:c>
      <x:c r="AO9" s="90" t="n">
        <x:v>0</x:v>
      </x:c>
      <x:c r="AP9" s="90" t="n">
        <x:v>0.5528854236718225</x:v>
      </x:c>
      <x:c r="AQ9" s="93" t="n">
        <x:v>48000</x:v>
      </x:c>
      <x:c r="AR9" s="93" t="n">
        <x:v>1</x:v>
      </x:c>
      <x:c r="AS9" s="59" t="b">
        <x:v>1</x:v>
      </x:c>
    </x:row>
    <x:row r="10" ht="32" customHeight="1">
      <x:c r="A10" s="42" t="str">
        <x:v>AIV0-F14-S-Q009</x:v>
      </x:c>
      <x:c r="B10" s="42" t="str">
        <x:v>AIV0-F14-SOUTH</x:v>
      </x:c>
      <x:c r="C10" s="42" t="str">
        <x:v>Q009</x:v>
      </x:c>
      <x:c r="D10" s="33" t="str">
        <x:v>Cô/chú nói chậm lại nhé.</x:v>
      </x:c>
      <x:c r="E10" s="21" t="str"/>
      <x:c r="F10" s="21" t="str">
        <x:v>Câu 9.m4a</x:v>
      </x:c>
      <x:c r="G10" s="21" t="str">
        <x:v>Câu 9.m4a</x:v>
      </x:c>
      <x:c r="H10" s="21" t="str">
        <x:v>C:\Users\Windows\Documents\DOCUMENTS DỰ ÁN SPEAKING AI\ÂM THANH SPEAKING AI\Bé gái 14 tuổi giọng nam\Bé gái 14 tuổi giọng nam\Câu 9.m4a</x:v>
      </x:c>
      <x:c r="I10" s="46" t="str">
        <x:v>local_d23c87b7332720e7</x:v>
      </x:c>
      <x:c r="J10" s="46" t="str">
        <x:v>d23c87b7332720e71652ed73b33c83ee883abb8d4613f87916f0619b7b873292</x:v>
      </x:c>
      <x:c r="K10" s="66" t="n">
        <x:v>1</x:v>
      </x:c>
      <x:c r="L10" s="46" t="str">
        <x:v>Đã ghép cục bộ</x:v>
      </x:c>
      <x:c r="M10" s="69" t="n">
        <x:v>46227.38208811342</x:v>
      </x:c>
      <x:c r="N10" s="47" t="str">
        <x:v>Kiểm thử lại</x:v>
      </x:c>
      <x:c r="O10" s="36" t="str">
        <x:v>Khó nghe</x:v>
      </x:c>
      <x:c r="P10" s="36" t="str">
        <x:v>AI nghe: "Cô nói chậm lại nhé."; khớp 87%; độ tin cậy -0.16; 2.32s; RMS -31.1 dBFS</x:v>
      </x:c>
      <x:c r="Q10" s="36" t="str">
        <x:v>Nghe lại thủ công; xác nhận các từ AI nhận dạng chưa chắc chắn.</x:v>
      </x:c>
      <x:c r="R10" s="47" t="str">
        <x:v>Đã đề xuất</x:v>
      </x:c>
      <x:c r="S10" s="46" t="str">
        <x:v>AI_PRECHECK_LARGE_V3_TURBO</x:v>
      </x:c>
      <x:c r="T10" s="69" t="n">
        <x:v>46227.38208811342</x:v>
      </x:c>
      <x:c r="U10" s="55" t="str">
        <x:v>Nói theo câu mẫu. Đối chiếu nội dung và độ rõ. Kết quả AI sơ bộ; cần người kiểm thử xác nhận.</x:v>
      </x:c>
      <x:c r="V10" s="56" t="str">
        <x:v>Nữ 14 tuổi - Miền Nam</x:v>
      </x:c>
      <x:c r="W10" s="56" t="str">
        <x:v>Nữ</x:v>
      </x:c>
      <x:c r="X10" s="72" t="n">
        <x:v>14</x:v>
      </x:c>
      <x:c r="Y10" s="56" t="str">
        <x:v>Miền Nam</x:v>
      </x:c>
      <x:c r="Z10" s="72" t="n">
        <x:v>9</x:v>
      </x:c>
      <x:c r="AA10" s="56" t="str">
        <x:v>Bé gái 14 tuổi giọng nam\Bé gái 14 tuổi giọng nam</x:v>
      </x:c>
      <x:c r="AB10" s="56" t="str">
        <x:v>F14-S-Q009.m4a</x:v>
      </x:c>
      <x:c r="AC10" s="56" t="str">
        <x:v>.m4a</x:v>
      </x:c>
      <x:c r="AD10" s="75" t="n">
        <x:v>22.7</x:v>
      </x:c>
      <x:c r="AE10" s="78" t="n">
        <x:v>46227.357851469904</x:v>
      </x:c>
      <x:c r="AF10" s="56" t="str">
        <x:v>Sẵn sàng</x:v>
      </x:c>
      <x:c r="AG10" s="57" t="str">
        <x:v>Cô nói chậm lại nhé.</x:v>
      </x:c>
      <x:c r="AH10" s="81" t="n">
        <x:v>0.8655</x:v>
      </x:c>
      <x:c r="AI10" s="81" t="n">
        <x:v>0.8333</x:v>
      </x:c>
      <x:c r="AJ10" s="84" t="n">
        <x:v>-0.1601</x:v>
      </x:c>
      <x:c r="AK10" s="84" t="n">
        <x:v>0</x:v>
      </x:c>
      <x:c r="AL10" s="87" t="n">
        <x:v>2.324</x:v>
      </x:c>
      <x:c r="AM10" s="87" t="n">
        <x:v>-31.141305061889856</x:v>
      </x:c>
      <x:c r="AN10" s="87" t="n">
        <x:v>-18.153267282848805</x:v>
      </x:c>
      <x:c r="AO10" s="90" t="n">
        <x:v>0</x:v>
      </x:c>
      <x:c r="AP10" s="90" t="n">
        <x:v>0.45437105565117614</x:v>
      </x:c>
      <x:c r="AQ10" s="93" t="n">
        <x:v>48000</x:v>
      </x:c>
      <x:c r="AR10" s="93" t="n">
        <x:v>1</x:v>
      </x:c>
      <x:c r="AS10" s="59" t="b">
        <x:v>1</x:v>
      </x:c>
    </x:row>
    <x:row r="11" ht="32" customHeight="1">
      <x:c r="A11" s="42" t="str">
        <x:v>AIV0-F14-S-Q010</x:v>
      </x:c>
      <x:c r="B11" s="42" t="str">
        <x:v>AIV0-F14-SOUTH</x:v>
      </x:c>
      <x:c r="C11" s="42" t="str">
        <x:v>Q010</x:v>
      </x:c>
      <x:c r="D11" s="33" t="str">
        <x:v>Con muốn nghe lại.</x:v>
      </x:c>
      <x:c r="E11" s="21" t="str"/>
      <x:c r="F11" s="21" t="str">
        <x:v>Câu 10.m4a</x:v>
      </x:c>
      <x:c r="G11" s="21" t="str">
        <x:v>Câu 10.m4a</x:v>
      </x:c>
      <x:c r="H11" s="21" t="str">
        <x:v>C:\Users\Windows\Documents\DOCUMENTS DỰ ÁN SPEAKING AI\ÂM THANH SPEAKING AI\Bé gái 14 tuổi giọng nam\Bé gái 14 tuổi giọng nam\Câu 10.m4a</x:v>
      </x:c>
      <x:c r="I11" s="46" t="str">
        <x:v>local_b408cb45e830a942</x:v>
      </x:c>
      <x:c r="J11" s="46" t="str">
        <x:v>b408cb45e830a942f41a5516d493c87fef147fb75548f8a42d47e144d21ea6e7</x:v>
      </x:c>
      <x:c r="K11" s="66" t="n">
        <x:v>1</x:v>
      </x:c>
      <x:c r="L11" s="46" t="str">
        <x:v>Đã ghép cục bộ</x:v>
      </x:c>
      <x:c r="M11" s="69" t="n">
        <x:v>46227.38221539352</x:v>
      </x:c>
      <x:c r="N11" s="47" t="str">
        <x:v>Đạt</x:v>
      </x:c>
      <x:c r="O11" s="36" t="str"/>
      <x:c r="P11" s="36" t="str">
        <x:v>AI nghe: "Con muốn nghe lại"; khớp 100%; độ tin cậy -0.22; 2.67s; RMS -30.5 dBFS</x:v>
      </x:c>
      <x:c r="Q11" s="36" t="str">
        <x:v>AI nhận dạng khớp câu mẫu; người kiểm thử nghe xác nhận.</x:v>
      </x:c>
      <x:c r="R11" s="47" t="str">
        <x:v>Không cần sửa</x:v>
      </x:c>
      <x:c r="S11" s="46" t="str">
        <x:v>AI_PRECHECK_LARGE_V3_TURBO</x:v>
      </x:c>
      <x:c r="T11" s="69" t="n">
        <x:v>46227.38221539352</x:v>
      </x:c>
      <x:c r="U11" s="55" t="str">
        <x:v>Nói theo câu mẫu. Đối chiếu nội dung và độ rõ. Kết quả AI sơ bộ; cần người kiểm thử xác nhận.</x:v>
      </x:c>
      <x:c r="V11" s="56" t="str">
        <x:v>Nữ 14 tuổi - Miền Nam</x:v>
      </x:c>
      <x:c r="W11" s="56" t="str">
        <x:v>Nữ</x:v>
      </x:c>
      <x:c r="X11" s="72" t="n">
        <x:v>14</x:v>
      </x:c>
      <x:c r="Y11" s="56" t="str">
        <x:v>Miền Nam</x:v>
      </x:c>
      <x:c r="Z11" s="72" t="n">
        <x:v>10</x:v>
      </x:c>
      <x:c r="AA11" s="56" t="str">
        <x:v>Bé gái 14 tuổi giọng nam\Bé gái 14 tuổi giọng nam</x:v>
      </x:c>
      <x:c r="AB11" s="56" t="str">
        <x:v>F14-S-Q010.m4a</x:v>
      </x:c>
      <x:c r="AC11" s="56" t="str">
        <x:v>.m4a</x:v>
      </x:c>
      <x:c r="AD11" s="75" t="n">
        <x:v>25.6</x:v>
      </x:c>
      <x:c r="AE11" s="78" t="n">
        <x:v>46227.35787230324</x:v>
      </x:c>
      <x:c r="AF11" s="56" t="str">
        <x:v>Sẵn sàng</x:v>
      </x:c>
      <x:c r="AG11" s="57" t="str">
        <x:v>Con muốn nghe lại</x:v>
      </x:c>
      <x:c r="AH11" s="81" t="n">
        <x:v>1</x:v>
      </x:c>
      <x:c r="AI11" s="81" t="n">
        <x:v>1</x:v>
      </x:c>
      <x:c r="AJ11" s="84" t="n">
        <x:v>-0.2247</x:v>
      </x:c>
      <x:c r="AK11" s="84" t="n">
        <x:v>0</x:v>
      </x:c>
      <x:c r="AL11" s="87" t="n">
        <x:v>2.6653333333333333</x:v>
      </x:c>
      <x:c r="AM11" s="87" t="n">
        <x:v>-30.51279406708579</x:v>
      </x:c>
      <x:c r="AN11" s="87" t="n">
        <x:v>-16.39652850379543</x:v>
      </x:c>
      <x:c r="AO11" s="90" t="n">
        <x:v>0</x:v>
      </x:c>
      <x:c r="AP11" s="90" t="n">
        <x:v>0.5580368309154577</x:v>
      </x:c>
      <x:c r="AQ11" s="93" t="n">
        <x:v>48000</x:v>
      </x:c>
      <x:c r="AR11" s="93" t="n">
        <x:v>1</x:v>
      </x:c>
      <x:c r="AS11" s="59" t="b">
        <x:v>1</x:v>
      </x:c>
    </x:row>
    <x:row r="12" ht="32" customHeight="1">
      <x:c r="A12" s="42" t="str">
        <x:v>AIV0-F14-S-Q011</x:v>
      </x:c>
      <x:c r="B12" s="42" t="str">
        <x:v>AIV0-F14-SOUTH</x:v>
      </x:c>
      <x:c r="C12" s="42" t="str">
        <x:v>Q011</x:v>
      </x:c>
      <x:c r="D12" s="33" t="str">
        <x:v>Ở nhà, con gọi ba của con là gì?</x:v>
      </x:c>
      <x:c r="E12" s="21" t="str"/>
      <x:c r="F12" s="21" t="str">
        <x:v>Câu 11.m4a</x:v>
      </x:c>
      <x:c r="G12" s="21" t="str">
        <x:v>Câu 11.m4a</x:v>
      </x:c>
      <x:c r="H12" s="21" t="str">
        <x:v>C:\Users\Windows\Documents\DOCUMENTS DỰ ÁN SPEAKING AI\ÂM THANH SPEAKING AI\Bé gái 14 tuổi giọng nam\Bé gái 14 tuổi giọng nam\Câu 11.m4a</x:v>
      </x:c>
      <x:c r="I12" s="46" t="str">
        <x:v>local_0d86222df2958b8a</x:v>
      </x:c>
      <x:c r="J12" s="46" t="str">
        <x:v>0d86222df2958b8a72a1c8d8b8d72462d46850426b4413b4866e0ac5560ef018</x:v>
      </x:c>
      <x:c r="K12" s="66" t="n">
        <x:v>1</x:v>
      </x:c>
      <x:c r="L12" s="46" t="str">
        <x:v>Đã ghép cục bộ</x:v>
      </x:c>
      <x:c r="M12" s="69" t="n">
        <x:v>46227.38233854167</x:v>
      </x:c>
      <x:c r="N12" s="47" t="str">
        <x:v>Đạt</x:v>
      </x:c>
      <x:c r="O12" s="36" t="str"/>
      <x:c r="P12" s="36" t="str">
        <x:v>AI nghe: "Con gọi là bố"; khớp 41%; độ tin cậy -0.25; 1.90s; RMS -32.3 dBFS</x:v>
      </x:c>
      <x:c r="Q12" s="36" t="str">
        <x:v>AI nhận dạng được câu hỏi/trả lời tự nhiên; người kiểm thử xác nhận nội dung.</x:v>
      </x:c>
      <x:c r="R12" s="47" t="str">
        <x:v>Không cần sửa</x:v>
      </x:c>
      <x:c r="S12" s="46" t="str">
        <x:v>AI_PRECHECK_LARGE_V3_TURBO</x:v>
      </x:c>
      <x:c r="T12" s="69" t="n">
        <x:v>46227.38233854167</x:v>
      </x:c>
      <x:c r="U12" s="55" t="str">
        <x:v>Phụ huynh hỏi; trẻ trả lời tự nhiên. Chấp nhận cách gọi quen thuộc; không sửa giọng địa phương. Kết quả AI sơ bộ; cần người kiểm thử xác nhận.</x:v>
      </x:c>
      <x:c r="V12" s="56" t="str">
        <x:v>Nữ 14 tuổi - Miền Nam</x:v>
      </x:c>
      <x:c r="W12" s="56" t="str">
        <x:v>Nữ</x:v>
      </x:c>
      <x:c r="X12" s="72" t="n">
        <x:v>14</x:v>
      </x:c>
      <x:c r="Y12" s="56" t="str">
        <x:v>Miền Nam</x:v>
      </x:c>
      <x:c r="Z12" s="72" t="n">
        <x:v>11</x:v>
      </x:c>
      <x:c r="AA12" s="56" t="str">
        <x:v>Bé gái 14 tuổi giọng nam\Bé gái 14 tuổi giọng nam</x:v>
      </x:c>
      <x:c r="AB12" s="56" t="str">
        <x:v>F14-S-Q011.m4a</x:v>
      </x:c>
      <x:c r="AC12" s="56" t="str">
        <x:v>.m4a</x:v>
      </x:c>
      <x:c r="AD12" s="75" t="n">
        <x:v>18.3</x:v>
      </x:c>
      <x:c r="AE12" s="78" t="n">
        <x:v>46227.35790097222</x:v>
      </x:c>
      <x:c r="AF12" s="56" t="str">
        <x:v>Sẵn sàng</x:v>
      </x:c>
      <x:c r="AG12" s="57" t="str">
        <x:v>Con gọi là bố</x:v>
      </x:c>
      <x:c r="AH12" s="81" t="n">
        <x:v>0.4136</x:v>
      </x:c>
      <x:c r="AI12" s="81" t="n">
        <x:v>0.3333</x:v>
      </x:c>
      <x:c r="AJ12" s="84" t="n">
        <x:v>-0.2479</x:v>
      </x:c>
      <x:c r="AK12" s="84" t="n">
        <x:v>0</x:v>
      </x:c>
      <x:c r="AL12" s="87" t="n">
        <x:v>1.8973333333333333</x:v>
      </x:c>
      <x:c r="AM12" s="87" t="n">
        <x:v>-32.32042216446467</x:v>
      </x:c>
      <x:c r="AN12" s="87" t="n">
        <x:v>-18.54623005966099</x:v>
      </x:c>
      <x:c r="AO12" s="90" t="n">
        <x:v>0</x:v>
      </x:c>
      <x:c r="AP12" s="90" t="n">
        <x:v>0.4860000878425861</x:v>
      </x:c>
      <x:c r="AQ12" s="93" t="n">
        <x:v>48000</x:v>
      </x:c>
      <x:c r="AR12" s="93" t="n">
        <x:v>1</x:v>
      </x:c>
      <x:c r="AS12" s="59" t="b">
        <x:v>1</x:v>
      </x:c>
    </x:row>
    <x:row r="13" ht="32" customHeight="1">
      <x:c r="A13" s="42" t="str">
        <x:v>AIV0-F14-S-Q012</x:v>
      </x:c>
      <x:c r="B13" s="42" t="str">
        <x:v>AIV0-F14-SOUTH</x:v>
      </x:c>
      <x:c r="C13" s="42" t="str">
        <x:v>Q012</x:v>
      </x:c>
      <x:c r="D13" s="33" t="str">
        <x:v>Ở chỗ con, mọi người hay nói ngô hay bắp?</x:v>
      </x:c>
      <x:c r="E13" s="21" t="str"/>
      <x:c r="F13" s="21" t="str">
        <x:v>Câu 12.m4a</x:v>
      </x:c>
      <x:c r="G13" s="21" t="str">
        <x:v>Câu 12.m4a</x:v>
      </x:c>
      <x:c r="H13" s="21" t="str">
        <x:v>C:\Users\Windows\Documents\DOCUMENTS DỰ ÁN SPEAKING AI\ÂM THANH SPEAKING AI\Bé gái 14 tuổi giọng nam\Bé gái 14 tuổi giọng nam\Câu 12.m4a</x:v>
      </x:c>
      <x:c r="I13" s="46" t="str">
        <x:v>local_3641299d163304c2</x:v>
      </x:c>
      <x:c r="J13" s="46" t="str">
        <x:v>3641299d163304c20b0c2ad8156ddd0183a3419cdf626fbc5094892ec90dfc1b</x:v>
      </x:c>
      <x:c r="K13" s="66" t="n">
        <x:v>1</x:v>
      </x:c>
      <x:c r="L13" s="46" t="str">
        <x:v>Đã ghép cục bộ</x:v>
      </x:c>
      <x:c r="M13" s="69" t="n">
        <x:v>46227.382458761575</x:v>
      </x:c>
      <x:c r="N13" s="47" t="str">
        <x:v>Đạt</x:v>
      </x:c>
      <x:c r="O13" s="36" t="str"/>
      <x:c r="P13" s="36" t="str">
        <x:v>AI nghe: "Con gọi là ngô"; khớp 31%; độ tin cậy -0.35; 2.15s; RMS -31.5 dBFS</x:v>
      </x:c>
      <x:c r="Q13" s="36" t="str">
        <x:v>AI nhận dạng được câu hỏi/trả lời tự nhiên; người kiểm thử xác nhận nội dung.</x:v>
      </x:c>
      <x:c r="R13" s="47" t="str">
        <x:v>Không cần sửa</x:v>
      </x:c>
      <x:c r="S13" s="46" t="str">
        <x:v>AI_PRECHECK_LARGE_V3_TURBO</x:v>
      </x:c>
      <x:c r="T13" s="69" t="n">
        <x:v>46227.382458761575</x:v>
      </x:c>
      <x:c r="U13" s="55" t="str">
        <x:v>Phụ huynh hỏi; trẻ trả lời tự nhiên. Chấp nhận cách gọi quen thuộc; không sửa giọng địa phương. Kết quả AI sơ bộ; cần người kiểm thử xác nhận.</x:v>
      </x:c>
      <x:c r="V13" s="56" t="str">
        <x:v>Nữ 14 tuổi - Miền Nam</x:v>
      </x:c>
      <x:c r="W13" s="56" t="str">
        <x:v>Nữ</x:v>
      </x:c>
      <x:c r="X13" s="72" t="n">
        <x:v>14</x:v>
      </x:c>
      <x:c r="Y13" s="56" t="str">
        <x:v>Miền Nam</x:v>
      </x:c>
      <x:c r="Z13" s="72" t="n">
        <x:v>12</x:v>
      </x:c>
      <x:c r="AA13" s="56" t="str">
        <x:v>Bé gái 14 tuổi giọng nam\Bé gái 14 tuổi giọng nam</x:v>
      </x:c>
      <x:c r="AB13" s="56" t="str">
        <x:v>F14-S-Q012.m4a</x:v>
      </x:c>
      <x:c r="AC13" s="56" t="str">
        <x:v>.m4a</x:v>
      </x:c>
      <x:c r="AD13" s="75" t="n">
        <x:v>21.1</x:v>
      </x:c>
      <x:c r="AE13" s="78" t="n">
        <x:v>46227.35795340278</x:v>
      </x:c>
      <x:c r="AF13" s="56" t="str">
        <x:v>Sẵn sàng</x:v>
      </x:c>
      <x:c r="AG13" s="57" t="str">
        <x:v>Con gọi là ngô</x:v>
      </x:c>
      <x:c r="AH13" s="81" t="n">
        <x:v>0.3138</x:v>
      </x:c>
      <x:c r="AI13" s="81" t="n">
        <x:v>0.2</x:v>
      </x:c>
      <x:c r="AJ13" s="84" t="n">
        <x:v>-0.351</x:v>
      </x:c>
      <x:c r="AK13" s="84" t="n">
        <x:v>0</x:v>
      </x:c>
      <x:c r="AL13" s="87" t="n">
        <x:v>2.1533333333333333</x:v>
      </x:c>
      <x:c r="AM13" s="87" t="n">
        <x:v>-31.465038998670494</x:v>
      </x:c>
      <x:c r="AN13" s="87" t="n">
        <x:v>-18.045872736423636</x:v>
      </x:c>
      <x:c r="AO13" s="90" t="n">
        <x:v>0</x:v>
      </x:c>
      <x:c r="AP13" s="90" t="n">
        <x:v>0.49372097523219816</x:v>
      </x:c>
      <x:c r="AQ13" s="93" t="n">
        <x:v>48000</x:v>
      </x:c>
      <x:c r="AR13" s="93" t="n">
        <x:v>1</x:v>
      </x:c>
      <x:c r="AS13" s="59" t="b">
        <x:v>1</x:v>
      </x:c>
    </x:row>
    <x:row r="14" ht="32" customHeight="1">
      <x:c r="A14" s="42" t="str">
        <x:v>AIV0-F14-S-Q013</x:v>
      </x:c>
      <x:c r="B14" s="42" t="str">
        <x:v>AIV0-F14-SOUTH</x:v>
      </x:c>
      <x:c r="C14" s="42" t="str">
        <x:v>Q013</x:v>
      </x:c>
      <x:c r="D14" s="33" t="str">
        <x:v>Con thấy con mèo.</x:v>
      </x:c>
      <x:c r="E14" s="21" t="str"/>
      <x:c r="F14" s="21" t="str">
        <x:v>Câu 13.m4a</x:v>
      </x:c>
      <x:c r="G14" s="21" t="str">
        <x:v>Câu 13.m4a</x:v>
      </x:c>
      <x:c r="H14" s="21" t="str">
        <x:v>C:\Users\Windows\Documents\DOCUMENTS DỰ ÁN SPEAKING AI\ÂM THANH SPEAKING AI\Bé gái 14 tuổi giọng nam\Bé gái 14 tuổi giọng nam\Câu 13.m4a</x:v>
      </x:c>
      <x:c r="I14" s="46" t="str">
        <x:v>local_5c54ec2747cce220</x:v>
      </x:c>
      <x:c r="J14" s="46" t="str">
        <x:v>5c54ec2747cce2206970eca962dc9f53ea4c46034bfada3912a416ef703bf817</x:v>
      </x:c>
      <x:c r="K14" s="66" t="n">
        <x:v>1</x:v>
      </x:c>
      <x:c r="L14" s="46" t="str">
        <x:v>Đã ghép cục bộ</x:v>
      </x:c>
      <x:c r="M14" s="69" t="n">
        <x:v>46227.38257758102</x:v>
      </x:c>
      <x:c r="N14" s="47" t="str">
        <x:v>Đạt</x:v>
      </x:c>
      <x:c r="O14" s="36" t="str"/>
      <x:c r="P14" s="36" t="str">
        <x:v>AI nghe: "Con thấy con mèo"; khớp 100%; độ tin cậy -0.15; 2.24s; RMS -30.5 dBFS</x:v>
      </x:c>
      <x:c r="Q14" s="36" t="str">
        <x:v>AI nhận dạng khớp câu mẫu; người kiểm thử nghe xác nhận.</x:v>
      </x:c>
      <x:c r="R14" s="47" t="str">
        <x:v>Không cần sửa</x:v>
      </x:c>
      <x:c r="S14" s="46" t="str">
        <x:v>AI_PRECHECK_LARGE_V3_TURBO</x:v>
      </x:c>
      <x:c r="T14" s="69" t="n">
        <x:v>46227.38257758102</x:v>
      </x:c>
      <x:c r="U14" s="55" t="str">
        <x:v>Nói theo câu mẫu. Đối chiếu nội dung và độ rõ. Kết quả AI sơ bộ; cần người kiểm thử xác nhận.</x:v>
      </x:c>
      <x:c r="V14" s="56" t="str">
        <x:v>Nữ 14 tuổi - Miền Nam</x:v>
      </x:c>
      <x:c r="W14" s="56" t="str">
        <x:v>Nữ</x:v>
      </x:c>
      <x:c r="X14" s="72" t="n">
        <x:v>14</x:v>
      </x:c>
      <x:c r="Y14" s="56" t="str">
        <x:v>Miền Nam</x:v>
      </x:c>
      <x:c r="Z14" s="72" t="n">
        <x:v>13</x:v>
      </x:c>
      <x:c r="AA14" s="56" t="str">
        <x:v>Bé gái 14 tuổi giọng nam\Bé gái 14 tuổi giọng nam</x:v>
      </x:c>
      <x:c r="AB14" s="56" t="str">
        <x:v>F14-S-Q013.m4a</x:v>
      </x:c>
      <x:c r="AC14" s="56" t="str">
        <x:v>.m4a</x:v>
      </x:c>
      <x:c r="AD14" s="75" t="n">
        <x:v>22.2</x:v>
      </x:c>
      <x:c r="AE14" s="78" t="n">
        <x:v>46227.35798113426</x:v>
      </x:c>
      <x:c r="AF14" s="56" t="str">
        <x:v>Sẵn sàng</x:v>
      </x:c>
      <x:c r="AG14" s="57" t="str">
        <x:v>Con thấy con mèo</x:v>
      </x:c>
      <x:c r="AH14" s="81" t="n">
        <x:v>1</x:v>
      </x:c>
      <x:c r="AI14" s="81" t="n">
        <x:v>1</x:v>
      </x:c>
      <x:c r="AJ14" s="84" t="n">
        <x:v>-0.1469</x:v>
      </x:c>
      <x:c r="AK14" s="84" t="n">
        <x:v>0</x:v>
      </x:c>
      <x:c r="AL14" s="87" t="n">
        <x:v>2.2386666666666666</x:v>
      </x:c>
      <x:c r="AM14" s="87" t="n">
        <x:v>-30.470545560247725</x:v>
      </x:c>
      <x:c r="AN14" s="87" t="n">
        <x:v>-16.587402569808404</x:v>
      </x:c>
      <x:c r="AO14" s="90" t="n">
        <x:v>0</x:v>
      </x:c>
      <x:c r="AP14" s="90" t="n">
        <x:v>0.49393240023823703</x:v>
      </x:c>
      <x:c r="AQ14" s="93" t="n">
        <x:v>48000</x:v>
      </x:c>
      <x:c r="AR14" s="93" t="n">
        <x:v>1</x:v>
      </x:c>
      <x:c r="AS14" s="59" t="b">
        <x:v>1</x:v>
      </x:c>
    </x:row>
    <x:row r="15" ht="32" customHeight="1">
      <x:c r="A15" s="42" t="str">
        <x:v>AIV0-F14-S-Q014</x:v>
      </x:c>
      <x:c r="B15" s="42" t="str">
        <x:v>AIV0-F14-SOUTH</x:v>
      </x:c>
      <x:c r="C15" s="42" t="str">
        <x:v>Q014</x:v>
      </x:c>
      <x:c r="D15" s="33" t="str">
        <x:v>Con có một quả bóng.</x:v>
      </x:c>
      <x:c r="E15" s="21" t="str"/>
      <x:c r="F15" s="21" t="str">
        <x:v>Câu 14.m4a</x:v>
      </x:c>
      <x:c r="G15" s="21" t="str">
        <x:v>Câu 14.m4a</x:v>
      </x:c>
      <x:c r="H15" s="21" t="str">
        <x:v>C:\Users\Windows\Documents\DOCUMENTS DỰ ÁN SPEAKING AI\ÂM THANH SPEAKING AI\Bé gái 14 tuổi giọng nam\Bé gái 14 tuổi giọng nam\Câu 14.m4a</x:v>
      </x:c>
      <x:c r="I15" s="46" t="str">
        <x:v>local_ae494577cd0d62d2</x:v>
      </x:c>
      <x:c r="J15" s="46" t="str">
        <x:v>ae494577cd0d62d2ba4104476e31be824cd843dccc2d3f2be36446cfd66b04ab</x:v>
      </x:c>
      <x:c r="K15" s="66" t="n">
        <x:v>1</x:v>
      </x:c>
      <x:c r="L15" s="46" t="str">
        <x:v>Đã ghép cục bộ</x:v>
      </x:c>
      <x:c r="M15" s="69" t="n">
        <x:v>46227.38269881944</x:v>
      </x:c>
      <x:c r="N15" s="47" t="str">
        <x:v>Đạt</x:v>
      </x:c>
      <x:c r="O15" s="36" t="str"/>
      <x:c r="P15" s="36" t="str">
        <x:v>AI nghe: "Con có một quả bóng"; khớp 100%; độ tin cậy -0.14; 2.49s; RMS -29.0 dBFS</x:v>
      </x:c>
      <x:c r="Q15" s="36" t="str">
        <x:v>AI nhận dạng khớp câu mẫu; người kiểm thử nghe xác nhận.</x:v>
      </x:c>
      <x:c r="R15" s="47" t="str">
        <x:v>Không cần sửa</x:v>
      </x:c>
      <x:c r="S15" s="46" t="str">
        <x:v>AI_PRECHECK_LARGE_V3_TURBO</x:v>
      </x:c>
      <x:c r="T15" s="69" t="n">
        <x:v>46227.38269881944</x:v>
      </x:c>
      <x:c r="U15" s="55" t="str">
        <x:v>Nói theo câu mẫu. Đối chiếu nội dung và độ rõ. Kết quả AI sơ bộ; cần người kiểm thử xác nhận.</x:v>
      </x:c>
      <x:c r="V15" s="56" t="str">
        <x:v>Nữ 14 tuổi - Miền Nam</x:v>
      </x:c>
      <x:c r="W15" s="56" t="str">
        <x:v>Nữ</x:v>
      </x:c>
      <x:c r="X15" s="72" t="n">
        <x:v>14</x:v>
      </x:c>
      <x:c r="Y15" s="56" t="str">
        <x:v>Miền Nam</x:v>
      </x:c>
      <x:c r="Z15" s="72" t="n">
        <x:v>14</x:v>
      </x:c>
      <x:c r="AA15" s="56" t="str">
        <x:v>Bé gái 14 tuổi giọng nam\Bé gái 14 tuổi giọng nam</x:v>
      </x:c>
      <x:c r="AB15" s="56" t="str">
        <x:v>F14-S-Q014.m4a</x:v>
      </x:c>
      <x:c r="AC15" s="56" t="str">
        <x:v>.m4a</x:v>
      </x:c>
      <x:c r="AD15" s="75" t="n">
        <x:v>23.9</x:v>
      </x:c>
      <x:c r="AE15" s="78" t="n">
        <x:v>46227.35799337963</x:v>
      </x:c>
      <x:c r="AF15" s="56" t="str">
        <x:v>Sẵn sàng</x:v>
      </x:c>
      <x:c r="AG15" s="57" t="str">
        <x:v>Con có một quả bóng</x:v>
      </x:c>
      <x:c r="AH15" s="81" t="n">
        <x:v>1</x:v>
      </x:c>
      <x:c r="AI15" s="81" t="n">
        <x:v>1</x:v>
      </x:c>
      <x:c r="AJ15" s="84" t="n">
        <x:v>-0.1371</x:v>
      </x:c>
      <x:c r="AK15" s="84" t="n">
        <x:v>0</x:v>
      </x:c>
      <x:c r="AL15" s="87" t="n">
        <x:v>2.494666666666667</x:v>
      </x:c>
      <x:c r="AM15" s="87" t="n">
        <x:v>-29.01241914578259</x:v>
      </x:c>
      <x:c r="AN15" s="87" t="n">
        <x:v>-14.805236342395645</x:v>
      </x:c>
      <x:c r="AO15" s="90" t="n">
        <x:v>0</x:v>
      </x:c>
      <x:c r="AP15" s="90" t="n">
        <x:v>0.4607830037413148</x:v>
      </x:c>
      <x:c r="AQ15" s="93" t="n">
        <x:v>48000</x:v>
      </x:c>
      <x:c r="AR15" s="93" t="n">
        <x:v>1</x:v>
      </x:c>
      <x:c r="AS15" s="59" t="b">
        <x:v>1</x:v>
      </x:c>
    </x:row>
    <x:row r="16" ht="32" customHeight="1">
      <x:c r="A16" s="42" t="str">
        <x:v>AIV0-F14-S-Q015</x:v>
      </x:c>
      <x:c r="B16" s="42" t="str">
        <x:v>AIV0-F14-SOUTH</x:v>
      </x:c>
      <x:c r="C16" s="42" t="str">
        <x:v>Q015</x:v>
      </x:c>
      <x:c r="D16" s="33" t="str">
        <x:v>Con muốn đi chơi.</x:v>
      </x:c>
      <x:c r="E16" s="21" t="str"/>
      <x:c r="F16" s="21" t="str">
        <x:v>Câu 15.m4a</x:v>
      </x:c>
      <x:c r="G16" s="21" t="str">
        <x:v>Câu 15.m4a</x:v>
      </x:c>
      <x:c r="H16" s="21" t="str">
        <x:v>C:\Users\Windows\Documents\DOCUMENTS DỰ ÁN SPEAKING AI\ÂM THANH SPEAKING AI\Bé gái 14 tuổi giọng nam\Bé gái 14 tuổi giọng nam\Câu 15.m4a</x:v>
      </x:c>
      <x:c r="I16" s="46" t="str">
        <x:v>local_31a639a32c691b3b</x:v>
      </x:c>
      <x:c r="J16" s="46" t="str">
        <x:v>31a639a32c691b3bf0c3ad4a4e10c9d4efc72d2f44b94425ade6175242431acb</x:v>
      </x:c>
      <x:c r="K16" s="66" t="n">
        <x:v>1</x:v>
      </x:c>
      <x:c r="L16" s="46" t="str">
        <x:v>Đã ghép cục bộ</x:v>
      </x:c>
      <x:c r="M16" s="69" t="n">
        <x:v>46227.38283569444</x:v>
      </x:c>
      <x:c r="N16" s="47" t="str">
        <x:v>Đạt</x:v>
      </x:c>
      <x:c r="O16" s="36" t="str"/>
      <x:c r="P16" s="36" t="str">
        <x:v>AI nghe: "Con muốn đi chơi"; khớp 100%; độ tin cậy -0.11; 2.49s; RMS -29.7 dBFS</x:v>
      </x:c>
      <x:c r="Q16" s="36" t="str">
        <x:v>AI nhận dạng khớp câu mẫu; người kiểm thử nghe xác nhận.</x:v>
      </x:c>
      <x:c r="R16" s="47" t="str">
        <x:v>Không cần sửa</x:v>
      </x:c>
      <x:c r="S16" s="46" t="str">
        <x:v>AI_PRECHECK_LARGE_V3_TURBO</x:v>
      </x:c>
      <x:c r="T16" s="69" t="n">
        <x:v>46227.38283569444</x:v>
      </x:c>
      <x:c r="U16" s="55" t="str">
        <x:v>Nói theo câu mẫu. Đối chiếu nội dung và độ rõ. Kết quả AI sơ bộ; cần người kiểm thử xác nhận.</x:v>
      </x:c>
      <x:c r="V16" s="56" t="str">
        <x:v>Nữ 14 tuổi - Miền Nam</x:v>
      </x:c>
      <x:c r="W16" s="56" t="str">
        <x:v>Nữ</x:v>
      </x:c>
      <x:c r="X16" s="72" t="n">
        <x:v>14</x:v>
      </x:c>
      <x:c r="Y16" s="56" t="str">
        <x:v>Miền Nam</x:v>
      </x:c>
      <x:c r="Z16" s="72" t="n">
        <x:v>15</x:v>
      </x:c>
      <x:c r="AA16" s="56" t="str">
        <x:v>Bé gái 14 tuổi giọng nam\Bé gái 14 tuổi giọng nam</x:v>
      </x:c>
      <x:c r="AB16" s="56" t="str">
        <x:v>F14-S-Q015.m4a</x:v>
      </x:c>
      <x:c r="AC16" s="56" t="str">
        <x:v>.m4a</x:v>
      </x:c>
      <x:c r="AD16" s="75" t="n">
        <x:v>24</x:v>
      </x:c>
      <x:c r="AE16" s="78" t="n">
        <x:v>46227.3580034375</x:v>
      </x:c>
      <x:c r="AF16" s="56" t="str">
        <x:v>Sẵn sàng</x:v>
      </x:c>
      <x:c r="AG16" s="57" t="str">
        <x:v>Con muốn đi chơi</x:v>
      </x:c>
      <x:c r="AH16" s="81" t="n">
        <x:v>1</x:v>
      </x:c>
      <x:c r="AI16" s="81" t="n">
        <x:v>1</x:v>
      </x:c>
      <x:c r="AJ16" s="84" t="n">
        <x:v>-0.1134</x:v>
      </x:c>
      <x:c r="AK16" s="84" t="n">
        <x:v>0</x:v>
      </x:c>
      <x:c r="AL16" s="87" t="n">
        <x:v>2.494666666666667</x:v>
      </x:c>
      <x:c r="AM16" s="87" t="n">
        <x:v>-29.74319956680787</x:v>
      </x:c>
      <x:c r="AN16" s="87" t="n">
        <x:v>-13.747757226920799</x:v>
      </x:c>
      <x:c r="AO16" s="90" t="n">
        <x:v>0</x:v>
      </x:c>
      <x:c r="AP16" s="90" t="n">
        <x:v>0.543359166221272</x:v>
      </x:c>
      <x:c r="AQ16" s="93" t="n">
        <x:v>48000</x:v>
      </x:c>
      <x:c r="AR16" s="93" t="n">
        <x:v>1</x:v>
      </x:c>
      <x:c r="AS16" s="59" t="b">
        <x:v>1</x:v>
      </x:c>
    </x:row>
    <x:row r="17" ht="32" customHeight="1">
      <x:c r="A17" s="42" t="str">
        <x:v>AIV0-F14-S-Q016</x:v>
      </x:c>
      <x:c r="B17" s="42" t="str">
        <x:v>AIV0-F14-SOUTH</x:v>
      </x:c>
      <x:c r="C17" s="42" t="str">
        <x:v>Q016</x:v>
      </x:c>
      <x:c r="D17" s="33" t="str">
        <x:v>Mẹ ơi, con cần giúp.</x:v>
      </x:c>
      <x:c r="E17" s="21" t="str"/>
      <x:c r="F17" s="21" t="str">
        <x:v>Câu 16.m4a</x:v>
      </x:c>
      <x:c r="G17" s="21" t="str">
        <x:v>Câu 16.m4a</x:v>
      </x:c>
      <x:c r="H17" s="21" t="str">
        <x:v>C:\Users\Windows\Documents\DOCUMENTS DỰ ÁN SPEAKING AI\ÂM THANH SPEAKING AI\Bé gái 14 tuổi giọng nam\Bé gái 14 tuổi giọng nam\Câu 16.m4a</x:v>
      </x:c>
      <x:c r="I17" s="46" t="str">
        <x:v>local_d9d661330559017e</x:v>
      </x:c>
      <x:c r="J17" s="46" t="str">
        <x:v>d9d661330559017e42b509446820bfbdf6eb1b09f45b783332e6889ab4d41217</x:v>
      </x:c>
      <x:c r="K17" s="66" t="n">
        <x:v>1</x:v>
      </x:c>
      <x:c r="L17" s="46" t="str">
        <x:v>Đã ghép cục bộ</x:v>
      </x:c>
      <x:c r="M17" s="69" t="n">
        <x:v>46227.383180034725</x:v>
      </x:c>
      <x:c r="N17" s="47" t="str">
        <x:v>Đạt</x:v>
      </x:c>
      <x:c r="O17" s="36" t="str"/>
      <x:c r="P17" s="36" t="str">
        <x:v>AI nghe: "Mẹ ơi con cần giúp"; khớp 100%; độ tin cậy -0.22; 2.75s; RMS -31.1 dBFS</x:v>
      </x:c>
      <x:c r="Q17" s="36" t="str">
        <x:v>AI nhận dạng khớp câu mẫu; người kiểm thử nghe xác nhận.</x:v>
      </x:c>
      <x:c r="R17" s="47" t="str">
        <x:v>Không cần sửa</x:v>
      </x:c>
      <x:c r="S17" s="46" t="str">
        <x:v>AI_PRECHECK_LARGE_V3_TURBO</x:v>
      </x:c>
      <x:c r="T17" s="69" t="n">
        <x:v>46227.383180034725</x:v>
      </x:c>
      <x:c r="U17" s="55" t="str">
        <x:v>Nói theo câu mẫu. Đối chiếu nội dung và độ rõ. Kết quả AI sơ bộ; cần người kiểm thử xác nhận.</x:v>
      </x:c>
      <x:c r="V17" s="56" t="str">
        <x:v>Nữ 14 tuổi - Miền Nam</x:v>
      </x:c>
      <x:c r="W17" s="56" t="str">
        <x:v>Nữ</x:v>
      </x:c>
      <x:c r="X17" s="72" t="n">
        <x:v>14</x:v>
      </x:c>
      <x:c r="Y17" s="56" t="str">
        <x:v>Miền Nam</x:v>
      </x:c>
      <x:c r="Z17" s="72" t="n">
        <x:v>16</x:v>
      </x:c>
      <x:c r="AA17" s="56" t="str">
        <x:v>Bé gái 14 tuổi giọng nam\Bé gái 14 tuổi giọng nam</x:v>
      </x:c>
      <x:c r="AB17" s="56" t="str">
        <x:v>F14-S-Q016.m4a</x:v>
      </x:c>
      <x:c r="AC17" s="56" t="str">
        <x:v>.m4a</x:v>
      </x:c>
      <x:c r="AD17" s="75" t="n">
        <x:v>26.7</x:v>
      </x:c>
      <x:c r="AE17" s="78" t="n">
        <x:v>46227.35801215278</x:v>
      </x:c>
      <x:c r="AF17" s="56" t="str">
        <x:v>Sẵn sàng</x:v>
      </x:c>
      <x:c r="AG17" s="57" t="str">
        <x:v>Mẹ ơi con cần giúp</x:v>
      </x:c>
      <x:c r="AH17" s="81" t="n">
        <x:v>1</x:v>
      </x:c>
      <x:c r="AI17" s="81" t="n">
        <x:v>1</x:v>
      </x:c>
      <x:c r="AJ17" s="84" t="n">
        <x:v>-0.2153</x:v>
      </x:c>
      <x:c r="AK17" s="84" t="n">
        <x:v>0</x:v>
      </x:c>
      <x:c r="AL17" s="87" t="n">
        <x:v>2.7506666666666666</x:v>
      </x:c>
      <x:c r="AM17" s="87" t="n">
        <x:v>-31.095852033733347</x:v>
      </x:c>
      <x:c r="AN17" s="87" t="n">
        <x:v>-13.536681565561661</x:v>
      </x:c>
      <x:c r="AO17" s="90" t="n">
        <x:v>0</x:v>
      </x:c>
      <x:c r="AP17" s="90" t="n">
        <x:v>0.5631968007755696</x:v>
      </x:c>
      <x:c r="AQ17" s="93" t="n">
        <x:v>48000</x:v>
      </x:c>
      <x:c r="AR17" s="93" t="n">
        <x:v>1</x:v>
      </x:c>
      <x:c r="AS17" s="59" t="b">
        <x:v>1</x:v>
      </x:c>
    </x:row>
    <x:row r="18" ht="32" customHeight="1">
      <x:c r="A18" s="42" t="str">
        <x:v>AIV0-F14-S-Q017</x:v>
      </x:c>
      <x:c r="B18" s="42" t="str">
        <x:v>AIV0-F14-SOUTH</x:v>
      </x:c>
      <x:c r="C18" s="42" t="str">
        <x:v>Q017</x:v>
      </x:c>
      <x:c r="D18" s="33" t="str">
        <x:v>Con muốn uống nước.</x:v>
      </x:c>
      <x:c r="E18" s="21" t="str"/>
      <x:c r="F18" s="21" t="str">
        <x:v>Câu 17.m4a</x:v>
      </x:c>
      <x:c r="G18" s="21" t="str">
        <x:v>Câu 17.m4a</x:v>
      </x:c>
      <x:c r="H18" s="21" t="str">
        <x:v>C:\Users\Windows\Documents\DOCUMENTS DỰ ÁN SPEAKING AI\ÂM THANH SPEAKING AI\Bé gái 14 tuổi giọng nam\Bé gái 14 tuổi giọng nam\Câu 17.m4a</x:v>
      </x:c>
      <x:c r="I18" s="46" t="str">
        <x:v>local_c56b48151393d157</x:v>
      </x:c>
      <x:c r="J18" s="46" t="str">
        <x:v>c56b48151393d1574e553de0902b2c64d6a2cd7de6351b0f0c71eaa4250a9b2b</x:v>
      </x:c>
      <x:c r="K18" s="66" t="n">
        <x:v>1</x:v>
      </x:c>
      <x:c r="L18" s="46" t="str">
        <x:v>Đã ghép cục bộ</x:v>
      </x:c>
      <x:c r="M18" s="69" t="n">
        <x:v>46227.38335105324</x:v>
      </x:c>
      <x:c r="N18" s="47" t="str">
        <x:v>Đạt</x:v>
      </x:c>
      <x:c r="O18" s="36" t="str"/>
      <x:c r="P18" s="36" t="str">
        <x:v>AI nghe: "Con muốn uống nước"; khớp 100%; độ tin cậy -0.28; 2.15s; RMS -25.0 dBFS</x:v>
      </x:c>
      <x:c r="Q18" s="36" t="str">
        <x:v>AI nhận dạng khớp câu mẫu; người kiểm thử nghe xác nhận.</x:v>
      </x:c>
      <x:c r="R18" s="47" t="str">
        <x:v>Không cần sửa</x:v>
      </x:c>
      <x:c r="S18" s="46" t="str">
        <x:v>AI_PRECHECK_LARGE_V3_TURBO</x:v>
      </x:c>
      <x:c r="T18" s="69" t="n">
        <x:v>46227.38335105324</x:v>
      </x:c>
      <x:c r="U18" s="55" t="str">
        <x:v>Bật quạt mức vừa. Đánh giá độ rõ khi có tiếng quạt nền. Kết quả AI sơ bộ; cần người kiểm thử xác nhận.</x:v>
      </x:c>
      <x:c r="V18" s="56" t="str">
        <x:v>Nữ 14 tuổi - Miền Nam</x:v>
      </x:c>
      <x:c r="W18" s="56" t="str">
        <x:v>Nữ</x:v>
      </x:c>
      <x:c r="X18" s="72" t="n">
        <x:v>14</x:v>
      </x:c>
      <x:c r="Y18" s="56" t="str">
        <x:v>Miền Nam</x:v>
      </x:c>
      <x:c r="Z18" s="72" t="n">
        <x:v>17</x:v>
      </x:c>
      <x:c r="AA18" s="56" t="str">
        <x:v>Bé gái 14 tuổi giọng nam\Bé gái 14 tuổi giọng nam</x:v>
      </x:c>
      <x:c r="AB18" s="56" t="str">
        <x:v>F14-S-Q017.m4a</x:v>
      </x:c>
      <x:c r="AC18" s="56" t="str">
        <x:v>.m4a</x:v>
      </x:c>
      <x:c r="AD18" s="75" t="n">
        <x:v>21.3</x:v>
      </x:c>
      <x:c r="AE18" s="78" t="n">
        <x:v>46227.35806268518</x:v>
      </x:c>
      <x:c r="AF18" s="56" t="str">
        <x:v>Sẵn sàng</x:v>
      </x:c>
      <x:c r="AG18" s="57" t="str">
        <x:v>Con muốn uống nước</x:v>
      </x:c>
      <x:c r="AH18" s="81" t="n">
        <x:v>1</x:v>
      </x:c>
      <x:c r="AI18" s="81" t="n">
        <x:v>1</x:v>
      </x:c>
      <x:c r="AJ18" s="84" t="n">
        <x:v>-0.2811</x:v>
      </x:c>
      <x:c r="AK18" s="84" t="n">
        <x:v>0</x:v>
      </x:c>
      <x:c r="AL18" s="87" t="n">
        <x:v>2.1533333333333333</x:v>
      </x:c>
      <x:c r="AM18" s="87" t="n">
        <x:v>-25.029329578529076</x:v>
      </x:c>
      <x:c r="AN18" s="87" t="n">
        <x:v>-9.682954592438088</x:v>
      </x:c>
      <x:c r="AO18" s="90" t="n">
        <x:v>0</x:v>
      </x:c>
      <x:c r="AP18" s="90" t="n">
        <x:v>0.2722136222910217</x:v>
      </x:c>
      <x:c r="AQ18" s="93" t="n">
        <x:v>48000</x:v>
      </x:c>
      <x:c r="AR18" s="93" t="n">
        <x:v>1</x:v>
      </x:c>
      <x:c r="AS18" s="59" t="b">
        <x:v>1</x:v>
      </x:c>
    </x:row>
    <x:row r="19" ht="32" customHeight="1">
      <x:c r="A19" s="42" t="str">
        <x:v>AIV0-F14-S-Q018</x:v>
      </x:c>
      <x:c r="B19" s="42" t="str">
        <x:v>AIV0-F14-SOUTH</x:v>
      </x:c>
      <x:c r="C19" s="42" t="str">
        <x:v>Q018</x:v>
      </x:c>
      <x:c r="D19" s="33" t="str">
        <x:v>Con không hiểu.</x:v>
      </x:c>
      <x:c r="E19" s="21" t="str"/>
      <x:c r="F19" s="21" t="str">
        <x:v>Câu 18.m4a</x:v>
      </x:c>
      <x:c r="G19" s="21" t="str">
        <x:v>Câu 18.m4a</x:v>
      </x:c>
      <x:c r="H19" s="21" t="str">
        <x:v>C:\Users\Windows\Documents\DOCUMENTS DỰ ÁN SPEAKING AI\ÂM THANH SPEAKING AI\Bé gái 14 tuổi giọng nam\Bé gái 14 tuổi giọng nam\Câu 18.m4a</x:v>
      </x:c>
      <x:c r="I19" s="46" t="str">
        <x:v>local_42c7ea7d5e9cb231</x:v>
      </x:c>
      <x:c r="J19" s="46" t="str">
        <x:v>42c7ea7d5e9cb2313414ffd5d339875dda9909b649588448fcd9a79684d19b46</x:v>
      </x:c>
      <x:c r="K19" s="66" t="n">
        <x:v>1</x:v>
      </x:c>
      <x:c r="L19" s="46" t="str">
        <x:v>Đã ghép cục bộ</x:v>
      </x:c>
      <x:c r="M19" s="69" t="n">
        <x:v>46227.38350322917</x:v>
      </x:c>
      <x:c r="N19" s="47" t="str">
        <x:v>Kiểm thử lại</x:v>
      </x:c>
      <x:c r="O19" s="36" t="str">
        <x:v>Khó nghe</x:v>
      </x:c>
      <x:c r="P19" s="36" t="str">
        <x:v>AI nghe: "Anh không hiểu"; khớp 75%; độ tin cậy -0.64; 1.64s; RMS -26.4 dBFS</x:v>
      </x:c>
      <x:c r="Q19" s="36" t="str">
        <x:v>Nghe lại thủ công; xác nhận các từ AI nhận dạng chưa chắc chắn.</x:v>
      </x:c>
      <x:c r="R19" s="47" t="str">
        <x:v>Đã đề xuất</x:v>
      </x:c>
      <x:c r="S19" s="46" t="str">
        <x:v>AI_PRECHECK_LARGE_V3_TURBO</x:v>
      </x:c>
      <x:c r="T19" s="69" t="n">
        <x:v>46227.38350322917</x:v>
      </x:c>
      <x:c r="U19" s="55" t="str">
        <x:v>Bật TV nhỏ. Đánh giá độ rõ khi có tiếng TV nền. Kết quả AI sơ bộ; cần người kiểm thử xác nhận.</x:v>
      </x:c>
      <x:c r="V19" s="56" t="str">
        <x:v>Nữ 14 tuổi - Miền Nam</x:v>
      </x:c>
      <x:c r="W19" s="56" t="str">
        <x:v>Nữ</x:v>
      </x:c>
      <x:c r="X19" s="72" t="n">
        <x:v>14</x:v>
      </x:c>
      <x:c r="Y19" s="56" t="str">
        <x:v>Miền Nam</x:v>
      </x:c>
      <x:c r="Z19" s="72" t="n">
        <x:v>18</x:v>
      </x:c>
      <x:c r="AA19" s="56" t="str">
        <x:v>Bé gái 14 tuổi giọng nam\Bé gái 14 tuổi giọng nam</x:v>
      </x:c>
      <x:c r="AB19" s="56" t="str">
        <x:v>F14-S-Q018.m4a</x:v>
      </x:c>
      <x:c r="AC19" s="56" t="str">
        <x:v>.m4a</x:v>
      </x:c>
      <x:c r="AD19" s="75" t="n">
        <x:v>16.6</x:v>
      </x:c>
      <x:c r="AE19" s="78" t="n">
        <x:v>46227.35808200231</x:v>
      </x:c>
      <x:c r="AF19" s="56" t="str">
        <x:v>Sẵn sàng</x:v>
      </x:c>
      <x:c r="AG19" s="57" t="str">
        <x:v>Anh không hiểu</x:v>
      </x:c>
      <x:c r="AH19" s="81" t="n">
        <x:v>0.7524</x:v>
      </x:c>
      <x:c r="AI19" s="81" t="n">
        <x:v>0.6667</x:v>
      </x:c>
      <x:c r="AJ19" s="84" t="n">
        <x:v>-0.6358</x:v>
      </x:c>
      <x:c r="AK19" s="84" t="n">
        <x:v>0</x:v>
      </x:c>
      <x:c r="AL19" s="87" t="n">
        <x:v>1.6413333333333333</x:v>
      </x:c>
      <x:c r="AM19" s="87" t="n">
        <x:v>-26.4234760007688</x:v>
      </x:c>
      <x:c r="AN19" s="87" t="n">
        <x:v>-9.38948388342217</x:v>
      </x:c>
      <x:c r="AO19" s="90" t="n">
        <x:v>0</x:v>
      </x:c>
      <x:c r="AP19" s="90" t="n">
        <x:v>0.23879214053614947</x:v>
      </x:c>
      <x:c r="AQ19" s="93" t="n">
        <x:v>48000</x:v>
      </x:c>
      <x:c r="AR19" s="93" t="n">
        <x:v>1</x:v>
      </x:c>
      <x:c r="AS19" s="59" t="b">
        <x:v>1</x:v>
      </x:c>
    </x:row>
    <x:row r="20" ht="32" customHeight="1">
      <x:c r="A20" s="42" t="str">
        <x:v>AIV0-F14-S-Q019</x:v>
      </x:c>
      <x:c r="B20" s="42" t="str">
        <x:v>AIV0-F14-SOUTH</x:v>
      </x:c>
      <x:c r="C20" s="42" t="str">
        <x:v>Q019</x:v>
      </x:c>
      <x:c r="D20" s="33" t="str">
        <x:v>Cô/chú nói chậm lại nhé.</x:v>
      </x:c>
      <x:c r="E20" s="21" t="str"/>
      <x:c r="F20" s="21" t="str">
        <x:v>Câu 19.m4a</x:v>
      </x:c>
      <x:c r="G20" s="21" t="str">
        <x:v>Câu 19.m4a</x:v>
      </x:c>
      <x:c r="H20" s="21" t="str">
        <x:v>C:\Users\Windows\Documents\DOCUMENTS DỰ ÁN SPEAKING AI\ÂM THANH SPEAKING AI\Bé gái 14 tuổi giọng nam\Bé gái 14 tuổi giọng nam\Câu 19.m4a</x:v>
      </x:c>
      <x:c r="I20" s="46" t="str">
        <x:v>local_01a99d5effde108d</x:v>
      </x:c>
      <x:c r="J20" s="46" t="str">
        <x:v>01a99d5effde108d1475680b7ed7a67ad1990d8c3f6fe9fe6a9eb0dcaf0da006</x:v>
      </x:c>
      <x:c r="K20" s="66" t="n">
        <x:v>1</x:v>
      </x:c>
      <x:c r="L20" s="46" t="str">
        <x:v>Đã ghép cục bộ</x:v>
      </x:c>
      <x:c r="M20" s="69" t="n">
        <x:v>46227.38367005787</x:v>
      </x:c>
      <x:c r="N20" s="47" t="str">
        <x:v>Kiểm thử lại</x:v>
      </x:c>
      <x:c r="O20" s="36" t="str">
        <x:v>Khó nghe</x:v>
      </x:c>
      <x:c r="P20" s="36" t="str">
        <x:v>AI nghe: "Hồ nó chậm lại nhịp"; khớp 53%; độ tin cậy -0.59; 2.49s; RMS -25.1 dBFS</x:v>
      </x:c>
      <x:c r="Q20" s="36" t="str">
        <x:v>Nghe lại thủ công; xác nhận các từ AI nhận dạng chưa chắc chắn.</x:v>
      </x:c>
      <x:c r="R20" s="47" t="str">
        <x:v>Đã đề xuất</x:v>
      </x:c>
      <x:c r="S20" s="46" t="str">
        <x:v>AI_PRECHECK_LARGE_V3_TURBO</x:v>
      </x:c>
      <x:c r="T20" s="69" t="n">
        <x:v>46227.38367005787</x:v>
      </x:c>
      <x:c r="U20" s="55" t="str">
        <x:v>Người lớn nói từ khoảng cách xa hơn. Đánh giá khả năng nghe và phản hồi. Kết quả AI sơ bộ; cần người kiểm thử xác nhận.</x:v>
      </x:c>
      <x:c r="V20" s="56" t="str">
        <x:v>Nữ 14 tuổi - Miền Nam</x:v>
      </x:c>
      <x:c r="W20" s="56" t="str">
        <x:v>Nữ</x:v>
      </x:c>
      <x:c r="X20" s="72" t="n">
        <x:v>14</x:v>
      </x:c>
      <x:c r="Y20" s="56" t="str">
        <x:v>Miền Nam</x:v>
      </x:c>
      <x:c r="Z20" s="72" t="n">
        <x:v>19</x:v>
      </x:c>
      <x:c r="AA20" s="56" t="str">
        <x:v>Bé gái 14 tuổi giọng nam\Bé gái 14 tuổi giọng nam</x:v>
      </x:c>
      <x:c r="AB20" s="56" t="str">
        <x:v>F14-S-Q019.m4a</x:v>
      </x:c>
      <x:c r="AC20" s="56" t="str">
        <x:v>.m4a</x:v>
      </x:c>
      <x:c r="AD20" s="75" t="n">
        <x:v>24.5</x:v>
      </x:c>
      <x:c r="AE20" s="78" t="n">
        <x:v>46227.3580943287</x:v>
      </x:c>
      <x:c r="AF20" s="56" t="str">
        <x:v>Sẵn sàng</x:v>
      </x:c>
      <x:c r="AG20" s="57" t="str">
        <x:v>Hồ nó chậm lại nhịp</x:v>
      </x:c>
      <x:c r="AH20" s="81" t="n">
        <x:v>0.5262</x:v>
      </x:c>
      <x:c r="AI20" s="81" t="n">
        <x:v>0.3333</x:v>
      </x:c>
      <x:c r="AJ20" s="84" t="n">
        <x:v>-0.5874</x:v>
      </x:c>
      <x:c r="AK20" s="84" t="n">
        <x:v>0</x:v>
      </x:c>
      <x:c r="AL20" s="87" t="n">
        <x:v>2.494666666666667</x:v>
      </x:c>
      <x:c r="AM20" s="87" t="n">
        <x:v>-25.14211349942365</x:v>
      </x:c>
      <x:c r="AN20" s="87" t="n">
        <x:v>-10.632126307984338</x:v>
      </x:c>
      <x:c r="AO20" s="90" t="n">
        <x:v>0</x:v>
      </x:c>
      <x:c r="AP20" s="90" t="n">
        <x:v>0.2255561865312667</x:v>
      </x:c>
      <x:c r="AQ20" s="93" t="n">
        <x:v>48000</x:v>
      </x:c>
      <x:c r="AR20" s="93" t="n">
        <x:v>1</x:v>
      </x:c>
      <x:c r="AS20" s="59" t="b">
        <x:v>1</x:v>
      </x:c>
    </x:row>
    <x:row r="21" ht="32" customHeight="1">
      <x:c r="A21" s="42" t="str">
        <x:v>AIV0-F14-S-Q020</x:v>
      </x:c>
      <x:c r="B21" s="42" t="str">
        <x:v>AIV0-F14-SOUTH</x:v>
      </x:c>
      <x:c r="C21" s="42" t="str">
        <x:v>Q020</x:v>
      </x:c>
      <x:c r="D21" s="33" t="str">
        <x:v>Con muốn chơi với bạn.</x:v>
      </x:c>
      <x:c r="E21" s="21" t="str"/>
      <x:c r="F21" s="21" t="str">
        <x:v>Câu 20.m4a</x:v>
      </x:c>
      <x:c r="G21" s="21" t="str">
        <x:v>Câu 20.m4a</x:v>
      </x:c>
      <x:c r="H21" s="21" t="str">
        <x:v>C:\Users\Windows\Documents\DOCUMENTS DỰ ÁN SPEAKING AI\ÂM THANH SPEAKING AI\Bé gái 14 tuổi giọng nam\Bé gái 14 tuổi giọng nam\Câu 20.m4a</x:v>
      </x:c>
      <x:c r="I21" s="46" t="str">
        <x:v>local_4bf288f06d94336c</x:v>
      </x:c>
      <x:c r="J21" s="46" t="str">
        <x:v>4bf288f06d94336c67e52ca4f390f80be14413d1adbe47b6e6375a533238fb3c</x:v>
      </x:c>
      <x:c r="K21" s="66" t="n">
        <x:v>1</x:v>
      </x:c>
      <x:c r="L21" s="46" t="str">
        <x:v>Đã ghép cục bộ</x:v>
      </x:c>
      <x:c r="M21" s="69" t="n">
        <x:v>46227.38382689815</x:v>
      </x:c>
      <x:c r="N21" s="47" t="str">
        <x:v>Đạt</x:v>
      </x:c>
      <x:c r="O21" s="36" t="str"/>
      <x:c r="P21" s="36" t="str">
        <x:v>AI nghe: "Con muốn chơi với bạn"; khớp 100%; độ tin cậy -0.26; 2.41s; RMS -23.5 dBFS</x:v>
      </x:c>
      <x:c r="Q21" s="36" t="str">
        <x:v>AI nhận dạng khớp câu mẫu; người kiểm thử nghe xác nhận.</x:v>
      </x:c>
      <x:c r="R21" s="47" t="str">
        <x:v>Không cần sửa</x:v>
      </x:c>
      <x:c r="S21" s="46" t="str">
        <x:v>AI_PRECHECK_LARGE_V3_TURBO</x:v>
      </x:c>
      <x:c r="T21" s="69" t="n">
        <x:v>46227.38382689815</x:v>
      </x:c>
      <x:c r="U21" s="55" t="str">
        <x:v>Lật sách hoặc đi lại nhẹ. Đánh giá độ rõ khi có tiếng động nhẹ. Kết quả AI sơ bộ; cần người kiểm thử xác nhận.</x:v>
      </x:c>
      <x:c r="V21" s="56" t="str">
        <x:v>Nữ 14 tuổi - Miền Nam</x:v>
      </x:c>
      <x:c r="W21" s="56" t="str">
        <x:v>Nữ</x:v>
      </x:c>
      <x:c r="X21" s="72" t="n">
        <x:v>14</x:v>
      </x:c>
      <x:c r="Y21" s="56" t="str">
        <x:v>Miền Nam</x:v>
      </x:c>
      <x:c r="Z21" s="72" t="n">
        <x:v>20</x:v>
      </x:c>
      <x:c r="AA21" s="56" t="str">
        <x:v>Bé gái 14 tuổi giọng nam\Bé gái 14 tuổi giọng nam</x:v>
      </x:c>
      <x:c r="AB21" s="56" t="str">
        <x:v>F14-S-Q020.m4a</x:v>
      </x:c>
      <x:c r="AC21" s="56" t="str">
        <x:v>.m4a</x:v>
      </x:c>
      <x:c r="AD21" s="75" t="n">
        <x:v>23.5</x:v>
      </x:c>
      <x:c r="AE21" s="78" t="n">
        <x:v>46227.358105694446</x:v>
      </x:c>
      <x:c r="AF21" s="56" t="str">
        <x:v>Sẵn sàng</x:v>
      </x:c>
      <x:c r="AG21" s="57" t="str">
        <x:v>Con muốn chơi với bạn</x:v>
      </x:c>
      <x:c r="AH21" s="81" t="n">
        <x:v>1</x:v>
      </x:c>
      <x:c r="AI21" s="81" t="n">
        <x:v>1</x:v>
      </x:c>
      <x:c r="AJ21" s="84" t="n">
        <x:v>-0.2614</x:v>
      </x:c>
      <x:c r="AK21" s="84" t="n">
        <x:v>0</x:v>
      </x:c>
      <x:c r="AL21" s="87" t="n">
        <x:v>2.4093333333333335</x:v>
      </x:c>
      <x:c r="AM21" s="87" t="n">
        <x:v>-23.5277238777536</x:v>
      </x:c>
      <x:c r="AN21" s="87" t="n">
        <x:v>-8.422076141504201</x:v>
      </x:c>
      <x:c r="AO21" s="90" t="n">
        <x:v>0</x:v>
      </x:c>
      <x:c r="AP21" s="90" t="n">
        <x:v>0.20343628942999448</x:v>
      </x:c>
      <x:c r="AQ21" s="93" t="n">
        <x:v>48000</x:v>
      </x:c>
      <x:c r="AR21" s="93" t="n">
        <x:v>1</x:v>
      </x:c>
      <x:c r="AS21" s="59" t="b">
        <x:v>1</x:v>
      </x:c>
    </x:row>
    <x:row r="22" ht="32" customHeight="1">
      <x:c r="A22" s="42" t="str">
        <x:v>AIV0-M04-N-Q001</x:v>
      </x:c>
      <x:c r="B22" s="42" t="str">
        <x:v>AIV0-M04-NORTH</x:v>
      </x:c>
      <x:c r="C22" s="42" t="str">
        <x:v>Q001</x:v>
      </x:c>
      <x:c r="D22" s="33" t="str">
        <x:v>Con tên là Bé Mây.</x:v>
      </x:c>
      <x:c r="E22" s="21" t="str"/>
      <x:c r="F22" s="21" t="str">
        <x:v>Câu 1.m4a</x:v>
      </x:c>
      <x:c r="G22" s="21" t="str">
        <x:v>Câu 1.m4a</x:v>
      </x:c>
      <x:c r="H22" s="21" t="str">
        <x:v>C:\Users\Windows\Documents\DOCUMENTS DỰ ÁN SPEAKING AI\ÂM THANH SPEAKING AI\Bé trai 4 tuổi giọng bắc\Bé trai 4 tuổi giọng bắc\Câu 1.m4a</x:v>
      </x:c>
      <x:c r="I22" s="46" t="str">
        <x:v>local_c808617d904d3ca5</x:v>
      </x:c>
      <x:c r="J22" s="46" t="str">
        <x:v>c808617d904d3ca5a3d9d0508fe6783817b0b444a667fc6c0a58dfc69ce42215</x:v>
      </x:c>
      <x:c r="K22" s="66" t="n">
        <x:v>1</x:v>
      </x:c>
      <x:c r="L22" s="46" t="str">
        <x:v>Đã ghép cục bộ</x:v>
      </x:c>
      <x:c r="M22" s="69" t="n">
        <x:v>46227.38399486111</x:v>
      </x:c>
      <x:c r="N22" s="47" t="str">
        <x:v>Không đạt</x:v>
      </x:c>
      <x:c r="O22" s="36" t="str">
        <x:v>Nghe không rõ; Nội dung không đúng câu mẫu</x:v>
      </x:c>
      <x:c r="P22" s="36" t="str">
        <x:v>AI nghe: "Cảm ơn các bạn đã theo dõi."; khớp 21%; độ tin cậy -0.67; 2.49s; RMS -21.7 dBFS</x:v>
      </x:c>
      <x:c r="Q22" s="36" t="str">
        <x:v>Thu lại đúng câu mẫu với tốc độ và âm lượng rõ hơn.</x:v>
      </x:c>
      <x:c r="R22" s="47" t="str">
        <x:v>Đã đề xuất</x:v>
      </x:c>
      <x:c r="S22" s="46" t="str">
        <x:v>AI_PRECHECK_LARGE_V3_TURBO</x:v>
      </x:c>
      <x:c r="T22" s="69" t="n">
        <x:v>46227.38399486111</x:v>
      </x:c>
      <x:c r="U22" s="55" t="str">
        <x:v>Nói theo câu mẫu. Đối chiếu nội dung và độ rõ. Kết quả AI sơ bộ; cần người kiểm thử xác nhận.</x:v>
      </x:c>
      <x:c r="V22" s="56" t="str">
        <x:v>Nam 4 tuổi - Miền Bắc</x:v>
      </x:c>
      <x:c r="W22" s="56" t="str">
        <x:v>Nam</x:v>
      </x:c>
      <x:c r="X22" s="72" t="n">
        <x:v>4</x:v>
      </x:c>
      <x:c r="Y22" s="56" t="str">
        <x:v>Miền Bắc</x:v>
      </x:c>
      <x:c r="Z22" s="72" t="n">
        <x:v>1</x:v>
      </x:c>
      <x:c r="AA22" s="56" t="str">
        <x:v>Bé trai 4 tuổi giọng bắc\Bé trai 4 tuổi giọng bắc</x:v>
      </x:c>
      <x:c r="AB22" s="56" t="str">
        <x:v>M04-N-Q001.m4a</x:v>
      </x:c>
      <x:c r="AC22" s="56" t="str">
        <x:v>.m4a</x:v>
      </x:c>
      <x:c r="AD22" s="75" t="n">
        <x:v>25.7</x:v>
      </x:c>
      <x:c r="AE22" s="78" t="n">
        <x:v>46227.35575835648</x:v>
      </x:c>
      <x:c r="AF22" s="56" t="str">
        <x:v>Sẵn sàng</x:v>
      </x:c>
      <x:c r="AG22" s="57" t="str">
        <x:v>Cảm ơn các bạn đã theo dõi.</x:v>
      </x:c>
      <x:c r="AH22" s="81" t="n">
        <x:v>0.2093</x:v>
      </x:c>
      <x:c r="AI22" s="81" t="n">
        <x:v>0</x:v>
      </x:c>
      <x:c r="AJ22" s="84" t="n">
        <x:v>-0.6681</x:v>
      </x:c>
      <x:c r="AK22" s="84" t="n">
        <x:v>0</x:v>
      </x:c>
      <x:c r="AL22" s="87" t="n">
        <x:v>2.494666666666667</x:v>
      </x:c>
      <x:c r="AM22" s="87" t="n">
        <x:v>-21.735844695112657</x:v>
      </x:c>
      <x:c r="AN22" s="87" t="n">
        <x:v>-4.791254100442021</x:v>
      </x:c>
      <x:c r="AO22" s="90" t="n">
        <x:v>0</x:v>
      </x:c>
      <x:c r="AP22" s="90" t="n">
        <x:v>0.39855859166221275</x:v>
      </x:c>
      <x:c r="AQ22" s="93" t="n">
        <x:v>48000</x:v>
      </x:c>
      <x:c r="AR22" s="93" t="n">
        <x:v>1</x:v>
      </x:c>
      <x:c r="AS22" s="59" t="b">
        <x:v>1</x:v>
      </x:c>
    </x:row>
    <x:row r="23" ht="32" customHeight="1">
      <x:c r="A23" s="42" t="str">
        <x:v>AIV0-M04-N-Q002</x:v>
      </x:c>
      <x:c r="B23" s="42" t="str">
        <x:v>AIV0-M04-NORTH</x:v>
      </x:c>
      <x:c r="C23" s="42" t="str">
        <x:v>Q002</x:v>
      </x:c>
      <x:c r="D23" s="33" t="str">
        <x:v>Con 4 tuổi.</x:v>
      </x:c>
      <x:c r="E23" s="21" t="str"/>
      <x:c r="F23" s="21" t="str">
        <x:v>Câu 2.m4a</x:v>
      </x:c>
      <x:c r="G23" s="21" t="str">
        <x:v>Câu 2.m4a</x:v>
      </x:c>
      <x:c r="H23" s="21" t="str">
        <x:v>C:\Users\Windows\Documents\DOCUMENTS DỰ ÁN SPEAKING AI\ÂM THANH SPEAKING AI\Bé trai 4 tuổi giọng bắc\Bé trai 4 tuổi giọng bắc\Câu 2.m4a</x:v>
      </x:c>
      <x:c r="I23" s="46" t="str">
        <x:v>local_b2cf682e17dee9a5</x:v>
      </x:c>
      <x:c r="J23" s="46" t="str">
        <x:v>b2cf682e17dee9a5fe108a43029812b6afc1db33af0fae37559e3bb5261caef6</x:v>
      </x:c>
      <x:c r="K23" s="66" t="n">
        <x:v>1</x:v>
      </x:c>
      <x:c r="L23" s="46" t="str">
        <x:v>Đã ghép cục bộ</x:v>
      </x:c>
      <x:c r="M23" s="69" t="n">
        <x:v>46227.38416152778</x:v>
      </x:c>
      <x:c r="N23" s="47" t="str">
        <x:v>Đạt</x:v>
      </x:c>
      <x:c r="O23" s="36" t="str"/>
      <x:c r="P23" s="36" t="str">
        <x:v>AI nghe: "Con bốn tuổi"; khớp 100%; độ tin cậy -0.36; 2.07s; RMS -26.3 dBFS</x:v>
      </x:c>
      <x:c r="Q23" s="36" t="str">
        <x:v>AI nhận dạng khớp câu mẫu; người kiểm thử nghe xác nhận.</x:v>
      </x:c>
      <x:c r="R23" s="47" t="str">
        <x:v>Không cần sửa</x:v>
      </x:c>
      <x:c r="S23" s="46" t="str">
        <x:v>AI_PRECHECK_LARGE_V3_TURBO</x:v>
      </x:c>
      <x:c r="T23" s="69" t="n">
        <x:v>46227.38416152778</x:v>
      </x:c>
      <x:c r="U23" s="55" t="str">
        <x:v>Nói theo câu mẫu. Đối chiếu nội dung và độ rõ. Kết quả AI sơ bộ; cần người kiểm thử xác nhận.</x:v>
      </x:c>
      <x:c r="V23" s="56" t="str">
        <x:v>Nam 4 tuổi - Miền Bắc</x:v>
      </x:c>
      <x:c r="W23" s="56" t="str">
        <x:v>Nam</x:v>
      </x:c>
      <x:c r="X23" s="72" t="n">
        <x:v>4</x:v>
      </x:c>
      <x:c r="Y23" s="56" t="str">
        <x:v>Miền Bắc</x:v>
      </x:c>
      <x:c r="Z23" s="72" t="n">
        <x:v>2</x:v>
      </x:c>
      <x:c r="AA23" s="56" t="str">
        <x:v>Bé trai 4 tuổi giọng bắc\Bé trai 4 tuổi giọng bắc</x:v>
      </x:c>
      <x:c r="AB23" s="56" t="str">
        <x:v>M04-N-Q002.m4a</x:v>
      </x:c>
      <x:c r="AC23" s="56" t="str">
        <x:v>.m4a</x:v>
      </x:c>
      <x:c r="AD23" s="75" t="n">
        <x:v>21.5</x:v>
      </x:c>
      <x:c r="AE23" s="78" t="n">
        <x:v>46227.35576641204</x:v>
      </x:c>
      <x:c r="AF23" s="56" t="str">
        <x:v>Sẵn sàng</x:v>
      </x:c>
      <x:c r="AG23" s="57" t="str">
        <x:v>Con bốn tuổi</x:v>
      </x:c>
      <x:c r="AH23" s="81" t="n">
        <x:v>1</x:v>
      </x:c>
      <x:c r="AI23" s="81" t="n">
        <x:v>1</x:v>
      </x:c>
      <x:c r="AJ23" s="84" t="n">
        <x:v>-0.3553</x:v>
      </x:c>
      <x:c r="AK23" s="84" t="n">
        <x:v>0</x:v>
      </x:c>
      <x:c r="AL23" s="87" t="n">
        <x:v>2.068</x:v>
      </x:c>
      <x:c r="AM23" s="87" t="n">
        <x:v>-26.286504740623332</x:v>
      </x:c>
      <x:c r="AN23" s="87" t="n">
        <x:v>-11.27086443716311</x:v>
      </x:c>
      <x:c r="AO23" s="90" t="n">
        <x:v>0</x:v>
      </x:c>
      <x:c r="AP23" s="90" t="n">
        <x:v>0.45200676982591875</x:v>
      </x:c>
      <x:c r="AQ23" s="93" t="n">
        <x:v>48000</x:v>
      </x:c>
      <x:c r="AR23" s="93" t="n">
        <x:v>1</x:v>
      </x:c>
      <x:c r="AS23" s="59" t="b">
        <x:v>1</x:v>
      </x:c>
    </x:row>
    <x:row r="24" ht="32" customHeight="1">
      <x:c r="A24" s="42" t="str">
        <x:v>AIV0-M04-N-Q003</x:v>
      </x:c>
      <x:c r="B24" s="42" t="str">
        <x:v>AIV0-M04-NORTH</x:v>
      </x:c>
      <x:c r="C24" s="42" t="str">
        <x:v>Q003</x:v>
      </x:c>
      <x:c r="D24" s="33" t="str">
        <x:v>Hôm nay con rất vui.</x:v>
      </x:c>
      <x:c r="E24" s="21" t="str"/>
      <x:c r="F24" s="21" t="str">
        <x:v>Câu 3.m4a</x:v>
      </x:c>
      <x:c r="G24" s="21" t="str">
        <x:v>Câu 3.m4a</x:v>
      </x:c>
      <x:c r="H24" s="21" t="str">
        <x:v>C:\Users\Windows\Documents\DOCUMENTS DỰ ÁN SPEAKING AI\ÂM THANH SPEAKING AI\Bé trai 4 tuổi giọng bắc\Bé trai 4 tuổi giọng bắc\Câu 3.m4a</x:v>
      </x:c>
      <x:c r="I24" s="46" t="str">
        <x:v>local_5244658fb1420eba</x:v>
      </x:c>
      <x:c r="J24" s="46" t="str">
        <x:v>5244658fb1420eba0bcf35838f344bba652ce57edba8a2303237c27dc65b3150</x:v>
      </x:c>
      <x:c r="K24" s="66" t="n">
        <x:v>1</x:v>
      </x:c>
      <x:c r="L24" s="46" t="str">
        <x:v>Đã ghép cục bộ</x:v>
      </x:c>
      <x:c r="M24" s="69" t="n">
        <x:v>46227.384335613424</x:v>
      </x:c>
      <x:c r="N24" s="47" t="str">
        <x:v>Không đạt</x:v>
      </x:c>
      <x:c r="O24" s="36" t="str">
        <x:v>Nghe không rõ; Nội dung không đúng câu mẫu</x:v>
      </x:c>
      <x:c r="P24" s="36" t="str">
        <x:v>AI nghe: "Hãy subscribe cho kênh La La School Để không bỏ lỡ những video hấp dẫn"; khớp 11%; độ tin cậy -0.27; 2.49s; RMS -19.8 dBFS</x:v>
      </x:c>
      <x:c r="Q24" s="36" t="str">
        <x:v>Thu lại đúng câu mẫu với tốc độ và âm lượng rõ hơn.</x:v>
      </x:c>
      <x:c r="R24" s="47" t="str">
        <x:v>Đã đề xuất</x:v>
      </x:c>
      <x:c r="S24" s="46" t="str">
        <x:v>AI_PRECHECK_LARGE_V3_TURBO</x:v>
      </x:c>
      <x:c r="T24" s="69" t="n">
        <x:v>46227.384335613424</x:v>
      </x:c>
      <x:c r="U24" s="55" t="str">
        <x:v>Nói theo câu mẫu. Đối chiếu nội dung và độ rõ. Kết quả AI sơ bộ; cần người kiểm thử xác nhận.</x:v>
      </x:c>
      <x:c r="V24" s="56" t="str">
        <x:v>Nam 4 tuổi - Miền Bắc</x:v>
      </x:c>
      <x:c r="W24" s="56" t="str">
        <x:v>Nam</x:v>
      </x:c>
      <x:c r="X24" s="72" t="n">
        <x:v>4</x:v>
      </x:c>
      <x:c r="Y24" s="56" t="str">
        <x:v>Miền Bắc</x:v>
      </x:c>
      <x:c r="Z24" s="72" t="n">
        <x:v>3</x:v>
      </x:c>
      <x:c r="AA24" s="56" t="str">
        <x:v>Bé trai 4 tuổi giọng bắc\Bé trai 4 tuổi giọng bắc</x:v>
      </x:c>
      <x:c r="AB24" s="56" t="str">
        <x:v>M04-N-Q003.m4a</x:v>
      </x:c>
      <x:c r="AC24" s="56" t="str">
        <x:v>.m4a</x:v>
      </x:c>
      <x:c r="AD24" s="75" t="n">
        <x:v>25.8</x:v>
      </x:c>
      <x:c r="AE24" s="78" t="n">
        <x:v>46227.35577398148</x:v>
      </x:c>
      <x:c r="AF24" s="56" t="str">
        <x:v>Sẵn sàng</x:v>
      </x:c>
      <x:c r="AG24" s="57" t="str">
        <x:v>Hãy subscribe cho kênh La La School Để không bỏ lỡ những video hấp dẫn</x:v>
      </x:c>
      <x:c r="AH24" s="81" t="n">
        <x:v>0.1112</x:v>
      </x:c>
      <x:c r="AI24" s="81" t="n">
        <x:v>0</x:v>
      </x:c>
      <x:c r="AJ24" s="84" t="n">
        <x:v>-0.2661</x:v>
      </x:c>
      <x:c r="AK24" s="84" t="n">
        <x:v>0</x:v>
      </x:c>
      <x:c r="AL24" s="87" t="n">
        <x:v>2.494666666666667</x:v>
      </x:c>
      <x:c r="AM24" s="87" t="n">
        <x:v>-19.759165424837494</x:v>
      </x:c>
      <x:c r="AN24" s="87" t="n">
        <x:v>-2.7056313278683892</x:v>
      </x:c>
      <x:c r="AO24" s="90" t="n">
        <x:v>0</x:v>
      </x:c>
      <x:c r="AP24" s="90" t="n">
        <x:v>0.3506898049171566</x:v>
      </x:c>
      <x:c r="AQ24" s="93" t="n">
        <x:v>48000</x:v>
      </x:c>
      <x:c r="AR24" s="93" t="n">
        <x:v>1</x:v>
      </x:c>
      <x:c r="AS24" s="59" t="b">
        <x:v>1</x:v>
      </x:c>
    </x:row>
    <x:row r="25" ht="32" customHeight="1">
      <x:c r="A25" s="42" t="str">
        <x:v>AIV0-M04-N-Q004</x:v>
      </x:c>
      <x:c r="B25" s="42" t="str">
        <x:v>AIV0-M04-NORTH</x:v>
      </x:c>
      <x:c r="C25" s="42" t="str">
        <x:v>Q004</x:v>
      </x:c>
      <x:c r="D25" s="33" t="str">
        <x:v>Con muốn uống nước.</x:v>
      </x:c>
      <x:c r="E25" s="21" t="str"/>
      <x:c r="F25" s="21" t="str">
        <x:v>Câu 4.m4a</x:v>
      </x:c>
      <x:c r="G25" s="21" t="str">
        <x:v>Câu 4.m4a</x:v>
      </x:c>
      <x:c r="H25" s="21" t="str">
        <x:v>C:\Users\Windows\Documents\DOCUMENTS DỰ ÁN SPEAKING AI\ÂM THANH SPEAKING AI\Bé trai 4 tuổi giọng bắc\Bé trai 4 tuổi giọng bắc\Câu 4.m4a</x:v>
      </x:c>
      <x:c r="I25" s="46" t="str">
        <x:v>local_bd67a1b3e0603802</x:v>
      </x:c>
      <x:c r="J25" s="46" t="str">
        <x:v>bd67a1b3e0603802be09f5fd9f091cca9a2c60059868cdece90550e991e1eae6</x:v>
      </x:c>
      <x:c r="K25" s="66" t="n">
        <x:v>1</x:v>
      </x:c>
      <x:c r="L25" s="46" t="str">
        <x:v>Đã ghép cục bộ</x:v>
      </x:c>
      <x:c r="M25" s="69" t="n">
        <x:v>46227.384503518515</x:v>
      </x:c>
      <x:c r="N25" s="47" t="str">
        <x:v>Không đạt</x:v>
      </x:c>
      <x:c r="O25" s="36" t="str">
        <x:v>Nghe không rõ; Nội dung không đúng câu mẫu</x:v>
      </x:c>
      <x:c r="P25" s="36" t="str">
        <x:v>AI nghe: "Hãy subscribe cho kênh lalaschool Để không bỏ lỡ những video hấp dẫn"; khớp 14%; độ tin cậy -0.30; 2.92s; RMS -23.9 dBFS</x:v>
      </x:c>
      <x:c r="Q25" s="36" t="str">
        <x:v>Thu lại đúng câu mẫu với tốc độ và âm lượng rõ hơn.</x:v>
      </x:c>
      <x:c r="R25" s="47" t="str">
        <x:v>Đã đề xuất</x:v>
      </x:c>
      <x:c r="S25" s="46" t="str">
        <x:v>AI_PRECHECK_LARGE_V3_TURBO</x:v>
      </x:c>
      <x:c r="T25" s="69" t="n">
        <x:v>46227.384503518515</x:v>
      </x:c>
      <x:c r="U25" s="55" t="str">
        <x:v>Nói theo câu mẫu. Đối chiếu nội dung và độ rõ. Kết quả AI sơ bộ; cần người kiểm thử xác nhận.</x:v>
      </x:c>
      <x:c r="V25" s="56" t="str">
        <x:v>Nam 4 tuổi - Miền Bắc</x:v>
      </x:c>
      <x:c r="W25" s="56" t="str">
        <x:v>Nam</x:v>
      </x:c>
      <x:c r="X25" s="72" t="n">
        <x:v>4</x:v>
      </x:c>
      <x:c r="Y25" s="56" t="str">
        <x:v>Miền Bắc</x:v>
      </x:c>
      <x:c r="Z25" s="72" t="n">
        <x:v>4</x:v>
      </x:c>
      <x:c r="AA25" s="56" t="str">
        <x:v>Bé trai 4 tuổi giọng bắc\Bé trai 4 tuổi giọng bắc</x:v>
      </x:c>
      <x:c r="AB25" s="56" t="str">
        <x:v>M04-N-Q004.m4a</x:v>
      </x:c>
      <x:c r="AC25" s="56" t="str">
        <x:v>.m4a</x:v>
      </x:c>
      <x:c r="AD25" s="75" t="n">
        <x:v>28.9</x:v>
      </x:c>
      <x:c r="AE25" s="78" t="n">
        <x:v>46227.35578171296</x:v>
      </x:c>
      <x:c r="AF25" s="56" t="str">
        <x:v>Sẵn sàng</x:v>
      </x:c>
      <x:c r="AG25" s="57" t="str">
        <x:v>Hãy subscribe cho kênh lalaschool Để không bỏ lỡ những video hấp dẫn</x:v>
      </x:c>
      <x:c r="AH25" s="81" t="n">
        <x:v>0.136</x:v>
      </x:c>
      <x:c r="AI25" s="81" t="n">
        <x:v>0</x:v>
      </x:c>
      <x:c r="AJ25" s="84" t="n">
        <x:v>-0.2999</x:v>
      </x:c>
      <x:c r="AK25" s="84" t="n">
        <x:v>0</x:v>
      </x:c>
      <x:c r="AL25" s="87" t="n">
        <x:v>2.921333333333333</x:v>
      </x:c>
      <x:c r="AM25" s="87" t="n">
        <x:v>-23.85223341266705</x:v>
      </x:c>
      <x:c r="AN25" s="87" t="n">
        <x:v>-9.48706304019699</x:v>
      </x:c>
      <x:c r="AO25" s="90" t="n">
        <x:v>0</x:v>
      </x:c>
      <x:c r="AP25" s="90" t="n">
        <x:v>0.5138064810588773</x:v>
      </x:c>
      <x:c r="AQ25" s="93" t="n">
        <x:v>48000</x:v>
      </x:c>
      <x:c r="AR25" s="93" t="n">
        <x:v>1</x:v>
      </x:c>
      <x:c r="AS25" s="59" t="b">
        <x:v>1</x:v>
      </x:c>
    </x:row>
    <x:row r="26" ht="32" customHeight="1">
      <x:c r="A26" s="42" t="str">
        <x:v>AIV0-M04-N-Q005</x:v>
      </x:c>
      <x:c r="B26" s="42" t="str">
        <x:v>AIV0-M04-NORTH</x:v>
      </x:c>
      <x:c r="C26" s="42" t="str">
        <x:v>Q005</x:v>
      </x:c>
      <x:c r="D26" s="33" t="str">
        <x:v>Con thích màu đỏ.</x:v>
      </x:c>
      <x:c r="E26" s="21" t="str"/>
      <x:c r="F26" s="21" t="str">
        <x:v>Câu 5.m4a</x:v>
      </x:c>
      <x:c r="G26" s="21" t="str">
        <x:v>Câu 5.m4a</x:v>
      </x:c>
      <x:c r="H26" s="21" t="str">
        <x:v>C:\Users\Windows\Documents\DOCUMENTS DỰ ÁN SPEAKING AI\ÂM THANH SPEAKING AI\Bé trai 4 tuổi giọng bắc\Bé trai 4 tuổi giọng bắc\Câu 5.m4a</x:v>
      </x:c>
      <x:c r="I26" s="46" t="str">
        <x:v>local_9c68a4f9ce7c1997</x:v>
      </x:c>
      <x:c r="J26" s="46" t="str">
        <x:v>9c68a4f9ce7c19978a6c85fd9db5a70000813c9d7358604167df2f69de285d6e</x:v>
      </x:c>
      <x:c r="K26" s="66" t="n">
        <x:v>1</x:v>
      </x:c>
      <x:c r="L26" s="46" t="str">
        <x:v>Đã ghép cục bộ</x:v>
      </x:c>
      <x:c r="M26" s="69" t="n">
        <x:v>46227.384659965275</x:v>
      </x:c>
      <x:c r="N26" s="47" t="str">
        <x:v>Đạt</x:v>
      </x:c>
      <x:c r="O26" s="36" t="str"/>
      <x:c r="P26" s="36" t="str">
        <x:v>AI nghe: "Con thích màu đỏ"; khớp 100%; độ tin cậy -0.39; 2.49s; RMS -27.2 dBFS</x:v>
      </x:c>
      <x:c r="Q26" s="36" t="str">
        <x:v>AI nhận dạng khớp câu mẫu; người kiểm thử nghe xác nhận.</x:v>
      </x:c>
      <x:c r="R26" s="47" t="str">
        <x:v>Không cần sửa</x:v>
      </x:c>
      <x:c r="S26" s="46" t="str">
        <x:v>AI_PRECHECK_LARGE_V3_TURBO</x:v>
      </x:c>
      <x:c r="T26" s="69" t="n">
        <x:v>46227.384659965275</x:v>
      </x:c>
      <x:c r="U26" s="55" t="str">
        <x:v>Nói theo câu mẫu. Đối chiếu nội dung và độ rõ. Kết quả AI sơ bộ; cần người kiểm thử xác nhận.</x:v>
      </x:c>
      <x:c r="V26" s="56" t="str">
        <x:v>Nam 4 tuổi - Miền Bắc</x:v>
      </x:c>
      <x:c r="W26" s="56" t="str">
        <x:v>Nam</x:v>
      </x:c>
      <x:c r="X26" s="72" t="n">
        <x:v>4</x:v>
      </x:c>
      <x:c r="Y26" s="56" t="str">
        <x:v>Miền Bắc</x:v>
      </x:c>
      <x:c r="Z26" s="72" t="n">
        <x:v>5</x:v>
      </x:c>
      <x:c r="AA26" s="56" t="str">
        <x:v>Bé trai 4 tuổi giọng bắc\Bé trai 4 tuổi giọng bắc</x:v>
      </x:c>
      <x:c r="AB26" s="56" t="str">
        <x:v>M04-N-Q005.m4a</x:v>
      </x:c>
      <x:c r="AC26" s="56" t="str">
        <x:v>.m4a</x:v>
      </x:c>
      <x:c r="AD26" s="75" t="n">
        <x:v>25.4</x:v>
      </x:c>
      <x:c r="AE26" s="78" t="n">
        <x:v>46227.355790775466</x:v>
      </x:c>
      <x:c r="AF26" s="56" t="str">
        <x:v>Sẵn sàng</x:v>
      </x:c>
      <x:c r="AG26" s="57" t="str">
        <x:v>Con thích màu đỏ</x:v>
      </x:c>
      <x:c r="AH26" s="81" t="n">
        <x:v>1</x:v>
      </x:c>
      <x:c r="AI26" s="81" t="n">
        <x:v>1</x:v>
      </x:c>
      <x:c r="AJ26" s="84" t="n">
        <x:v>-0.3882</x:v>
      </x:c>
      <x:c r="AK26" s="84" t="n">
        <x:v>0</x:v>
      </x:c>
      <x:c r="AL26" s="87" t="n">
        <x:v>2.494666666666667</x:v>
      </x:c>
      <x:c r="AM26" s="87" t="n">
        <x:v>-27.152855121713845</x:v>
      </x:c>
      <x:c r="AN26" s="87" t="n">
        <x:v>-10.616497764547496</x:v>
      </x:c>
      <x:c r="AO26" s="90" t="n">
        <x:v>0</x:v>
      </x:c>
      <x:c r="AP26" s="90" t="n">
        <x:v>0.5901172501336184</x:v>
      </x:c>
      <x:c r="AQ26" s="93" t="n">
        <x:v>48000</x:v>
      </x:c>
      <x:c r="AR26" s="93" t="n">
        <x:v>1</x:v>
      </x:c>
      <x:c r="AS26" s="59" t="b">
        <x:v>1</x:v>
      </x:c>
    </x:row>
    <x:row r="27" ht="32" customHeight="1">
      <x:c r="A27" s="42" t="str">
        <x:v>AIV0-M04-N-Q006</x:v>
      </x:c>
      <x:c r="B27" s="42" t="str">
        <x:v>AIV0-M04-NORTH</x:v>
      </x:c>
      <x:c r="C27" s="42" t="str">
        <x:v>Q006</x:v>
      </x:c>
      <x:c r="D27" s="33" t="str">
        <x:v>Con thích ăn cơm.</x:v>
      </x:c>
      <x:c r="E27" s="21" t="str"/>
      <x:c r="F27" s="21" t="str">
        <x:v>Câu 6.m4a</x:v>
      </x:c>
      <x:c r="G27" s="21" t="str">
        <x:v>Câu 6.m4a</x:v>
      </x:c>
      <x:c r="H27" s="21" t="str">
        <x:v>C:\Users\Windows\Documents\DOCUMENTS DỰ ÁN SPEAKING AI\ÂM THANH SPEAKING AI\Bé trai 4 tuổi giọng bắc\Bé trai 4 tuổi giọng bắc\Câu 6.m4a</x:v>
      </x:c>
      <x:c r="I27" s="46" t="str">
        <x:v>local_6fa245cdca69376b</x:v>
      </x:c>
      <x:c r="J27" s="46" t="str">
        <x:v>6fa245cdca69376b5b9cd3a291d423daec072882ce855596a6febac2ee8b5110</x:v>
      </x:c>
      <x:c r="K27" s="66" t="n">
        <x:v>1</x:v>
      </x:c>
      <x:c r="L27" s="46" t="str">
        <x:v>Đã ghép cục bộ</x:v>
      </x:c>
      <x:c r="M27" s="69" t="n">
        <x:v>46227.38480334491</x:v>
      </x:c>
      <x:c r="N27" s="47" t="str">
        <x:v>Không đạt</x:v>
      </x:c>
      <x:c r="O27" s="36" t="str">
        <x:v>Nghe không rõ; Nội dung không đúng câu mẫu</x:v>
      </x:c>
      <x:c r="P27" s="36" t="str">
        <x:v>AI nghe: "Các bạn hãy đăng ký kênh để ủng hộ kênh của mình nhé!"; khớp 9%; độ tin cậy -0.43; 2.32s; RMS -21.7 dBFS</x:v>
      </x:c>
      <x:c r="Q27" s="36" t="str">
        <x:v>Thu lại đúng câu mẫu với tốc độ và âm lượng rõ hơn.</x:v>
      </x:c>
      <x:c r="R27" s="47" t="str">
        <x:v>Đã đề xuất</x:v>
      </x:c>
      <x:c r="S27" s="46" t="str">
        <x:v>AI_PRECHECK_LARGE_V3_TURBO</x:v>
      </x:c>
      <x:c r="T27" s="69" t="n">
        <x:v>46227.38480334491</x:v>
      </x:c>
      <x:c r="U27" s="55" t="str">
        <x:v>Nói theo câu mẫu. Đối chiếu nội dung và độ rõ. Kết quả AI sơ bộ; cần người kiểm thử xác nhận.</x:v>
      </x:c>
      <x:c r="V27" s="56" t="str">
        <x:v>Nam 4 tuổi - Miền Bắc</x:v>
      </x:c>
      <x:c r="W27" s="56" t="str">
        <x:v>Nam</x:v>
      </x:c>
      <x:c r="X27" s="72" t="n">
        <x:v>4</x:v>
      </x:c>
      <x:c r="Y27" s="56" t="str">
        <x:v>Miền Bắc</x:v>
      </x:c>
      <x:c r="Z27" s="72" t="n">
        <x:v>6</x:v>
      </x:c>
      <x:c r="AA27" s="56" t="str">
        <x:v>Bé trai 4 tuổi giọng bắc\Bé trai 4 tuổi giọng bắc</x:v>
      </x:c>
      <x:c r="AB27" s="56" t="str">
        <x:v>M04-N-Q006.m4a</x:v>
      </x:c>
      <x:c r="AC27" s="56" t="str">
        <x:v>.m4a</x:v>
      </x:c>
      <x:c r="AD27" s="75" t="n">
        <x:v>23.7</x:v>
      </x:c>
      <x:c r="AE27" s="78" t="n">
        <x:v>46227.35580085648</x:v>
      </x:c>
      <x:c r="AF27" s="56" t="str">
        <x:v>Sẵn sàng</x:v>
      </x:c>
      <x:c r="AG27" s="57" t="str">
        <x:v>Các bạn hãy đăng ký kênh để ủng hộ kênh của mình nhé!</x:v>
      </x:c>
      <x:c r="AH27" s="81" t="n">
        <x:v>0.0926</x:v>
      </x:c>
      <x:c r="AI27" s="81" t="n">
        <x:v>0</x:v>
      </x:c>
      <x:c r="AJ27" s="84" t="n">
        <x:v>-0.4253</x:v>
      </x:c>
      <x:c r="AK27" s="84" t="n">
        <x:v>0</x:v>
      </x:c>
      <x:c r="AL27" s="87" t="n">
        <x:v>2.324</x:v>
      </x:c>
      <x:c r="AM27" s="87" t="n">
        <x:v>-21.723171074700165</x:v>
      </x:c>
      <x:c r="AN27" s="87" t="n">
        <x:v>-4.96590159623974</x:v>
      </x:c>
      <x:c r="AO27" s="90" t="n">
        <x:v>0</x:v>
      </x:c>
      <x:c r="AP27" s="90" t="n">
        <x:v>0.45389594090648305</x:v>
      </x:c>
      <x:c r="AQ27" s="93" t="n">
        <x:v>48000</x:v>
      </x:c>
      <x:c r="AR27" s="93" t="n">
        <x:v>1</x:v>
      </x:c>
      <x:c r="AS27" s="59" t="b">
        <x:v>1</x:v>
      </x:c>
    </x:row>
    <x:row r="28" ht="32" customHeight="1">
      <x:c r="A28" s="42" t="str">
        <x:v>AIV0-M04-N-Q007</x:v>
      </x:c>
      <x:c r="B28" s="42" t="str">
        <x:v>AIV0-M04-NORTH</x:v>
      </x:c>
      <x:c r="C28" s="42" t="str">
        <x:v>Q007</x:v>
      </x:c>
      <x:c r="D28" s="33" t="str">
        <x:v>Con muốn chơi với bạn.</x:v>
      </x:c>
      <x:c r="E28" s="21" t="str"/>
      <x:c r="F28" s="21" t="str">
        <x:v>Câu7.m4a</x:v>
      </x:c>
      <x:c r="G28" s="21" t="str">
        <x:v>Câu7.m4a</x:v>
      </x:c>
      <x:c r="H28" s="21" t="str">
        <x:v>C:\Users\Windows\Documents\DOCUMENTS DỰ ÁN SPEAKING AI\ÂM THANH SPEAKING AI\Bé trai 4 tuổi giọng bắc\Bé trai 4 tuổi giọng bắc\Câu7.m4a</x:v>
      </x:c>
      <x:c r="I28" s="46" t="str">
        <x:v>local_8d4ead351e565180</x:v>
      </x:c>
      <x:c r="J28" s="46" t="str">
        <x:v>8d4ead351e5651800cc39dc9d30c0a549145954ce06af975368411047e3cd44d</x:v>
      </x:c>
      <x:c r="K28" s="66" t="n">
        <x:v>1</x:v>
      </x:c>
      <x:c r="L28" s="46" t="str">
        <x:v>Đã ghép cục bộ</x:v>
      </x:c>
      <x:c r="M28" s="69" t="n">
        <x:v>46227.38490052083</x:v>
      </x:c>
      <x:c r="N28" s="47" t="str">
        <x:v>Kiểm thử lại</x:v>
      </x:c>
      <x:c r="O28" s="36" t="str">
        <x:v>Khó nghe</x:v>
      </x:c>
      <x:c r="P28" s="36" t="str">
        <x:v>AI nghe: "Cảm ơn chơi với bạn."; khớp 71%; độ tin cậy -0.25; 2.67s; RMS -21.6 dBFS</x:v>
      </x:c>
      <x:c r="Q28" s="36" t="str">
        <x:v>Nghe lại thủ công; xác nhận các từ AI nhận dạng chưa chắc chắn.</x:v>
      </x:c>
      <x:c r="R28" s="47" t="str">
        <x:v>Đã đề xuất</x:v>
      </x:c>
      <x:c r="S28" s="46" t="str">
        <x:v>AI_PRECHECK_LARGE_V3_TURBO</x:v>
      </x:c>
      <x:c r="T28" s="69" t="n">
        <x:v>46227.38490052083</x:v>
      </x:c>
      <x:c r="U28" s="55" t="str">
        <x:v>Nói theo câu mẫu. Đối chiếu nội dung và độ rõ. Kết quả AI sơ bộ; cần người kiểm thử xác nhận.</x:v>
      </x:c>
      <x:c r="V28" s="56" t="str">
        <x:v>Nam 4 tuổi - Miền Bắc</x:v>
      </x:c>
      <x:c r="W28" s="56" t="str">
        <x:v>Nam</x:v>
      </x:c>
      <x:c r="X28" s="72" t="n">
        <x:v>4</x:v>
      </x:c>
      <x:c r="Y28" s="56" t="str">
        <x:v>Miền Bắc</x:v>
      </x:c>
      <x:c r="Z28" s="72" t="n">
        <x:v>7</x:v>
      </x:c>
      <x:c r="AA28" s="56" t="str">
        <x:v>Bé trai 4 tuổi giọng bắc\Bé trai 4 tuổi giọng bắc</x:v>
      </x:c>
      <x:c r="AB28" s="56" t="str">
        <x:v>M04-N-Q007.m4a</x:v>
      </x:c>
      <x:c r="AC28" s="56" t="str">
        <x:v>.m4a</x:v>
      </x:c>
      <x:c r="AD28" s="75" t="n">
        <x:v>27.8</x:v>
      </x:c>
      <x:c r="AE28" s="78" t="n">
        <x:v>46227.35584679398</x:v>
      </x:c>
      <x:c r="AF28" s="56" t="str">
        <x:v>Sẵn sàng</x:v>
      </x:c>
      <x:c r="AG28" s="57" t="str">
        <x:v>Cảm ơn chơi với bạn.</x:v>
      </x:c>
      <x:c r="AH28" s="81" t="n">
        <x:v>0.7125</x:v>
      </x:c>
      <x:c r="AI28" s="81" t="n">
        <x:v>0.6</x:v>
      </x:c>
      <x:c r="AJ28" s="84" t="n">
        <x:v>-0.2546</x:v>
      </x:c>
      <x:c r="AK28" s="84" t="n">
        <x:v>0</x:v>
      </x:c>
      <x:c r="AL28" s="87" t="n">
        <x:v>2.6653333333333333</x:v>
      </x:c>
      <x:c r="AM28" s="87" t="n">
        <x:v>-21.611986540965056</x:v>
      </x:c>
      <x:c r="AN28" s="87" t="n">
        <x:v>-6.921304372230036</x:v>
      </x:c>
      <x:c r="AO28" s="90" t="n">
        <x:v>0</x:v>
      </x:c>
      <x:c r="AP28" s="90" t="n">
        <x:v>0.29746904702351173</x:v>
      </x:c>
      <x:c r="AQ28" s="93" t="n">
        <x:v>48000</x:v>
      </x:c>
      <x:c r="AR28" s="93" t="n">
        <x:v>1</x:v>
      </x:c>
      <x:c r="AS28" s="59" t="b">
        <x:v>1</x:v>
      </x:c>
    </x:row>
    <x:row r="29" ht="32" customHeight="1">
      <x:c r="A29" s="42" t="str">
        <x:v>AIV0-M04-N-Q008</x:v>
      </x:c>
      <x:c r="B29" s="42" t="str">
        <x:v>AIV0-M04-NORTH</x:v>
      </x:c>
      <x:c r="C29" s="42" t="str">
        <x:v>Q008</x:v>
      </x:c>
      <x:c r="D29" s="33" t="str">
        <x:v>Con không hiểu.</x:v>
      </x:c>
      <x:c r="E29" s="21" t="str"/>
      <x:c r="F29" s="21" t="str">
        <x:v>Câu 8.m4a</x:v>
      </x:c>
      <x:c r="G29" s="21" t="str">
        <x:v>Câu 8.m4a</x:v>
      </x:c>
      <x:c r="H29" s="21" t="str">
        <x:v>C:\Users\Windows\Documents\DOCUMENTS DỰ ÁN SPEAKING AI\ÂM THANH SPEAKING AI\Bé trai 4 tuổi giọng bắc\Bé trai 4 tuổi giọng bắc\Câu 8.m4a</x:v>
      </x:c>
      <x:c r="I29" s="46" t="str">
        <x:v>local_be8d391b77f31607</x:v>
      </x:c>
      <x:c r="J29" s="46" t="str">
        <x:v>be8d391b77f316071ea7b3430e688059893a6f79babecb1575c8afbd4d32eba1</x:v>
      </x:c>
      <x:c r="K29" s="66" t="n">
        <x:v>1</x:v>
      </x:c>
      <x:c r="L29" s="46" t="str">
        <x:v>Đã ghép cục bộ</x:v>
      </x:c>
      <x:c r="M29" s="69" t="n">
        <x:v>46227.3850325</x:v>
      </x:c>
      <x:c r="N29" s="47" t="str">
        <x:v>Không đạt</x:v>
      </x:c>
      <x:c r="O29" s="36" t="str">
        <x:v>Nghe không rõ; Nội dung không đúng câu mẫu</x:v>
      </x:c>
      <x:c r="P29" s="36" t="str">
        <x:v>AI nghe: "Hãy subscribe cho kênh lalaschool Để không bỏ lỡ những video hấp dẫn"; khớp 21%; độ tin cậy -0.23; 1.90s; RMS -23.9 dBFS</x:v>
      </x:c>
      <x:c r="Q29" s="36" t="str">
        <x:v>Thu lại đúng câu mẫu với tốc độ và âm lượng rõ hơn.</x:v>
      </x:c>
      <x:c r="R29" s="47" t="str">
        <x:v>Đã đề xuất</x:v>
      </x:c>
      <x:c r="S29" s="46" t="str">
        <x:v>AI_PRECHECK_LARGE_V3_TURBO</x:v>
      </x:c>
      <x:c r="T29" s="69" t="n">
        <x:v>46227.3850325</x:v>
      </x:c>
      <x:c r="U29" s="55" t="str">
        <x:v>Nói theo câu mẫu. Đối chiếu nội dung và độ rõ. Kết quả AI sơ bộ; cần người kiểm thử xác nhận.</x:v>
      </x:c>
      <x:c r="V29" s="56" t="str">
        <x:v>Nam 4 tuổi - Miền Bắc</x:v>
      </x:c>
      <x:c r="W29" s="56" t="str">
        <x:v>Nam</x:v>
      </x:c>
      <x:c r="X29" s="72" t="n">
        <x:v>4</x:v>
      </x:c>
      <x:c r="Y29" s="56" t="str">
        <x:v>Miền Bắc</x:v>
      </x:c>
      <x:c r="Z29" s="72" t="n">
        <x:v>8</x:v>
      </x:c>
      <x:c r="AA29" s="56" t="str">
        <x:v>Bé trai 4 tuổi giọng bắc\Bé trai 4 tuổi giọng bắc</x:v>
      </x:c>
      <x:c r="AB29" s="56" t="str">
        <x:v>M04-N-Q008.m4a</x:v>
      </x:c>
      <x:c r="AC29" s="56" t="str">
        <x:v>.m4a</x:v>
      </x:c>
      <x:c r="AD29" s="75" t="n">
        <x:v>19.6</x:v>
      </x:c>
      <x:c r="AE29" s="78" t="n">
        <x:v>46227.355854444446</x:v>
      </x:c>
      <x:c r="AF29" s="56" t="str">
        <x:v>Sẵn sàng</x:v>
      </x:c>
      <x:c r="AG29" s="57" t="str">
        <x:v>Hãy subscribe cho kênh lalaschool Để không bỏ lỡ những video hấp dẫn</x:v>
      </x:c>
      <x:c r="AH29" s="81" t="n">
        <x:v>0.2093</x:v>
      </x:c>
      <x:c r="AI29" s="81" t="n">
        <x:v>0.3333</x:v>
      </x:c>
      <x:c r="AJ29" s="84" t="n">
        <x:v>-0.2276</x:v>
      </x:c>
      <x:c r="AK29" s="84" t="n">
        <x:v>0</x:v>
      </x:c>
      <x:c r="AL29" s="87" t="n">
        <x:v>1.8973333333333333</x:v>
      </x:c>
      <x:c r="AM29" s="87" t="n">
        <x:v>-23.937364686395426</x:v>
      </x:c>
      <x:c r="AN29" s="87" t="n">
        <x:v>-9.376925186739964</x:v>
      </x:c>
      <x:c r="AO29" s="90" t="n">
        <x:v>0</x:v>
      </x:c>
      <x:c r="AP29" s="90" t="n">
        <x:v>0.42127108222066056</x:v>
      </x:c>
      <x:c r="AQ29" s="93" t="n">
        <x:v>48000</x:v>
      </x:c>
      <x:c r="AR29" s="93" t="n">
        <x:v>1</x:v>
      </x:c>
      <x:c r="AS29" s="59" t="b">
        <x:v>1</x:v>
      </x:c>
    </x:row>
    <x:row r="30" ht="32" customHeight="1">
      <x:c r="A30" s="42" t="str">
        <x:v>AIV0-M04-N-Q009</x:v>
      </x:c>
      <x:c r="B30" s="42" t="str">
        <x:v>AIV0-M04-NORTH</x:v>
      </x:c>
      <x:c r="C30" s="42" t="str">
        <x:v>Q009</x:v>
      </x:c>
      <x:c r="D30" s="33" t="str">
        <x:v>Cô/chú nói chậm lại nhé.</x:v>
      </x:c>
      <x:c r="E30" s="21" t="str"/>
      <x:c r="F30" s="21" t="str">
        <x:v>Câu 9.m4a</x:v>
      </x:c>
      <x:c r="G30" s="21" t="str">
        <x:v>Câu 9.m4a</x:v>
      </x:c>
      <x:c r="H30" s="21" t="str">
        <x:v>C:\Users\Windows\Documents\DOCUMENTS DỰ ÁN SPEAKING AI\ÂM THANH SPEAKING AI\Bé trai 4 tuổi giọng bắc\Bé trai 4 tuổi giọng bắc\Câu 9.m4a</x:v>
      </x:c>
      <x:c r="I30" s="46" t="str">
        <x:v>local_3b64f8321d2486f6</x:v>
      </x:c>
      <x:c r="J30" s="46" t="str">
        <x:v>3b64f8321d2486f6dd47dcbada12d1ac8fdfdf0a5425e10fc292b6421f6d76d4</x:v>
      </x:c>
      <x:c r="K30" s="66" t="n">
        <x:v>1</x:v>
      </x:c>
      <x:c r="L30" s="46" t="str">
        <x:v>Đã ghép cục bộ</x:v>
      </x:c>
      <x:c r="M30" s="69" t="n">
        <x:v>46227.38515081019</x:v>
      </x:c>
      <x:c r="N30" s="47" t="str">
        <x:v>Không đạt</x:v>
      </x:c>
      <x:c r="O30" s="36" t="str">
        <x:v>Nghe không rõ; Nội dung không đúng câu mẫu</x:v>
      </x:c>
      <x:c r="P30" s="36" t="str">
        <x:v>AI nghe: "Con I don't like knit"; khớp 20%; độ tin cậy -0.99; 3.26s; RMS -26.4 dBFS</x:v>
      </x:c>
      <x:c r="Q30" s="36" t="str">
        <x:v>Thu lại đúng câu mẫu với tốc độ và âm lượng rõ hơn.</x:v>
      </x:c>
      <x:c r="R30" s="47" t="str">
        <x:v>Đã đề xuất</x:v>
      </x:c>
      <x:c r="S30" s="46" t="str">
        <x:v>AI_PRECHECK_LARGE_V3_TURBO</x:v>
      </x:c>
      <x:c r="T30" s="69" t="n">
        <x:v>46227.38515081019</x:v>
      </x:c>
      <x:c r="U30" s="55" t="str">
        <x:v>Nói theo câu mẫu. Đối chiếu nội dung và độ rõ. Kết quả AI sơ bộ; cần người kiểm thử xác nhận.</x:v>
      </x:c>
      <x:c r="V30" s="56" t="str">
        <x:v>Nam 4 tuổi - Miền Bắc</x:v>
      </x:c>
      <x:c r="W30" s="56" t="str">
        <x:v>Nam</x:v>
      </x:c>
      <x:c r="X30" s="72" t="n">
        <x:v>4</x:v>
      </x:c>
      <x:c r="Y30" s="56" t="str">
        <x:v>Miền Bắc</x:v>
      </x:c>
      <x:c r="Z30" s="72" t="n">
        <x:v>9</x:v>
      </x:c>
      <x:c r="AA30" s="56" t="str">
        <x:v>Bé trai 4 tuổi giọng bắc\Bé trai 4 tuổi giọng bắc</x:v>
      </x:c>
      <x:c r="AB30" s="56" t="str">
        <x:v>M04-N-Q009.m4a</x:v>
      </x:c>
      <x:c r="AC30" s="56" t="str">
        <x:v>.m4a</x:v>
      </x:c>
      <x:c r="AD30" s="75" t="n">
        <x:v>31.8</x:v>
      </x:c>
      <x:c r="AE30" s="78" t="n">
        <x:v>46227.355863136574</x:v>
      </x:c>
      <x:c r="AF30" s="56" t="str">
        <x:v>Sẵn sàng</x:v>
      </x:c>
      <x:c r="AG30" s="57" t="str">
        <x:v>Con I don't like knit</x:v>
      </x:c>
      <x:c r="AH30" s="81" t="n">
        <x:v>0.2045</x:v>
      </x:c>
      <x:c r="AI30" s="81" t="n">
        <x:v>0</x:v>
      </x:c>
      <x:c r="AJ30" s="84" t="n">
        <x:v>-0.9863</x:v>
      </x:c>
      <x:c r="AK30" s="84" t="n">
        <x:v>0</x:v>
      </x:c>
      <x:c r="AL30" s="87" t="n">
        <x:v>3.2626666666666666</x:v>
      </x:c>
      <x:c r="AM30" s="87" t="n">
        <x:v>-26.385066685265404</x:v>
      </x:c>
      <x:c r="AN30" s="87" t="n">
        <x:v>-9.641626360289905</x:v>
      </x:c>
      <x:c r="AO30" s="90" t="n">
        <x:v>0</x:v>
      </x:c>
      <x:c r="AP30" s="90" t="n">
        <x:v>0.5994904474867184</x:v>
      </x:c>
      <x:c r="AQ30" s="93" t="n">
        <x:v>48000</x:v>
      </x:c>
      <x:c r="AR30" s="93" t="n">
        <x:v>1</x:v>
      </x:c>
      <x:c r="AS30" s="59" t="b">
        <x:v>1</x:v>
      </x:c>
    </x:row>
    <x:row r="31" ht="32" customHeight="1">
      <x:c r="A31" s="42" t="str">
        <x:v>AIV0-M04-N-Q010</x:v>
      </x:c>
      <x:c r="B31" s="42" t="str">
        <x:v>AIV0-M04-NORTH</x:v>
      </x:c>
      <x:c r="C31" s="42" t="str">
        <x:v>Q010</x:v>
      </x:c>
      <x:c r="D31" s="33" t="str">
        <x:v>Con muốn nghe lại.</x:v>
      </x:c>
      <x:c r="E31" s="21" t="str"/>
      <x:c r="F31" s="21" t="str">
        <x:v>Câu 10.m4a</x:v>
      </x:c>
      <x:c r="G31" s="21" t="str">
        <x:v>Câu 10.m4a</x:v>
      </x:c>
      <x:c r="H31" s="21" t="str">
        <x:v>C:\Users\Windows\Documents\DOCUMENTS DỰ ÁN SPEAKING AI\ÂM THANH SPEAKING AI\Bé trai 4 tuổi giọng bắc\Bé trai 4 tuổi giọng bắc\Câu 10.m4a</x:v>
      </x:c>
      <x:c r="I31" s="46" t="str">
        <x:v>local_1ce88de230b7852a</x:v>
      </x:c>
      <x:c r="J31" s="46" t="str">
        <x:v>1ce88de230b7852abd4ebb2b985f5527cca3c26800cf9fbfc099ef5a8748c13b</x:v>
      </x:c>
      <x:c r="K31" s="66" t="n">
        <x:v>1</x:v>
      </x:c>
      <x:c r="L31" s="46" t="str">
        <x:v>Đã ghép cục bộ</x:v>
      </x:c>
      <x:c r="M31" s="69" t="n">
        <x:v>46227.385269583334</x:v>
      </x:c>
      <x:c r="N31" s="47" t="str">
        <x:v>Kiểm thử lại</x:v>
      </x:c>
      <x:c r="O31" s="36" t="str">
        <x:v>Khó nghe</x:v>
      </x:c>
      <x:c r="P31" s="36" t="str">
        <x:v>AI nghe: "Cảm ơn nghe lại"; khớp 64%; độ tin cậy -0.27; 3.18s; RMS -23.2 dBFS</x:v>
      </x:c>
      <x:c r="Q31" s="36" t="str">
        <x:v>Nghe lại thủ công; xác nhận các từ AI nhận dạng chưa chắc chắn.</x:v>
      </x:c>
      <x:c r="R31" s="47" t="str">
        <x:v>Đã đề xuất</x:v>
      </x:c>
      <x:c r="S31" s="46" t="str">
        <x:v>AI_PRECHECK_LARGE_V3_TURBO</x:v>
      </x:c>
      <x:c r="T31" s="69" t="n">
        <x:v>46227.385269583334</x:v>
      </x:c>
      <x:c r="U31" s="55" t="str">
        <x:v>Nói theo câu mẫu. Đối chiếu nội dung và độ rõ. Kết quả AI sơ bộ; cần người kiểm thử xác nhận.</x:v>
      </x:c>
      <x:c r="V31" s="56" t="str">
        <x:v>Nam 4 tuổi - Miền Bắc</x:v>
      </x:c>
      <x:c r="W31" s="56" t="str">
        <x:v>Nam</x:v>
      </x:c>
      <x:c r="X31" s="72" t="n">
        <x:v>4</x:v>
      </x:c>
      <x:c r="Y31" s="56" t="str">
        <x:v>Miền Bắc</x:v>
      </x:c>
      <x:c r="Z31" s="72" t="n">
        <x:v>10</x:v>
      </x:c>
      <x:c r="AA31" s="56" t="str">
        <x:v>Bé trai 4 tuổi giọng bắc\Bé trai 4 tuổi giọng bắc</x:v>
      </x:c>
      <x:c r="AB31" s="56" t="str">
        <x:v>M04-N-Q010.m4a</x:v>
      </x:c>
      <x:c r="AC31" s="56" t="str">
        <x:v>.m4a</x:v>
      </x:c>
      <x:c r="AD31" s="75" t="n">
        <x:v>31.2</x:v>
      </x:c>
      <x:c r="AE31" s="78" t="n">
        <x:v>46227.35587054398</x:v>
      </x:c>
      <x:c r="AF31" s="56" t="str">
        <x:v>Sẵn sàng</x:v>
      </x:c>
      <x:c r="AG31" s="57" t="str">
        <x:v>Cảm ơn nghe lại</x:v>
      </x:c>
      <x:c r="AH31" s="81" t="n">
        <x:v>0.6406</x:v>
      </x:c>
      <x:c r="AI31" s="81" t="n">
        <x:v>0.5</x:v>
      </x:c>
      <x:c r="AJ31" s="84" t="n">
        <x:v>-0.2671</x:v>
      </x:c>
      <x:c r="AK31" s="84" t="n">
        <x:v>0</x:v>
      </x:c>
      <x:c r="AL31" s="87" t="n">
        <x:v>3.1773333333333333</x:v>
      </x:c>
      <x:c r="AM31" s="87" t="n">
        <x:v>-23.204249796066442</x:v>
      </x:c>
      <x:c r="AN31" s="87" t="n">
        <x:v>-7.079134100518713</x:v>
      </x:c>
      <x:c r="AO31" s="90" t="n">
        <x:v>0</x:v>
      </x:c>
      <x:c r="AP31" s="90" t="n">
        <x:v>0.5264438208140999</x:v>
      </x:c>
      <x:c r="AQ31" s="93" t="n">
        <x:v>48000</x:v>
      </x:c>
      <x:c r="AR31" s="93" t="n">
        <x:v>1</x:v>
      </x:c>
      <x:c r="AS31" s="59" t="b">
        <x:v>1</x:v>
      </x:c>
    </x:row>
    <x:row r="32" ht="32" customHeight="1">
      <x:c r="A32" s="42" t="str">
        <x:v>AIV0-M04-N-Q011</x:v>
      </x:c>
      <x:c r="B32" s="42" t="str">
        <x:v>AIV0-M04-NORTH</x:v>
      </x:c>
      <x:c r="C32" s="42" t="str">
        <x:v>Q011</x:v>
      </x:c>
      <x:c r="D32" s="33" t="str">
        <x:v>Ở nhà, con gọi ba của con là gì?</x:v>
      </x:c>
      <x:c r="E32" s="21" t="str"/>
      <x:c r="F32" s="21" t="str">
        <x:v>Câu 11.m4a</x:v>
      </x:c>
      <x:c r="G32" s="21" t="str">
        <x:v>Câu 11.m4a</x:v>
      </x:c>
      <x:c r="H32" s="21" t="str">
        <x:v>C:\Users\Windows\Documents\DOCUMENTS DỰ ÁN SPEAKING AI\ÂM THANH SPEAKING AI\Bé trai 4 tuổi giọng bắc\Bé trai 4 tuổi giọng bắc\Câu 11.m4a</x:v>
      </x:c>
      <x:c r="I32" s="46" t="str">
        <x:v>local_b7aa16b2dd3d22a5</x:v>
      </x:c>
      <x:c r="J32" s="46" t="str">
        <x:v>b7aa16b2dd3d22a5ba96a908504a168c9309619bc653fbdaadc74dbc5cbb6b02</x:v>
      </x:c>
      <x:c r="K32" s="66" t="n">
        <x:v>1</x:v>
      </x:c>
      <x:c r="L32" s="46" t="str">
        <x:v>Đã ghép cục bộ</x:v>
      </x:c>
      <x:c r="M32" s="69" t="n">
        <x:v>46227.3853940162</x:v>
      </x:c>
      <x:c r="N32" s="47" t="str">
        <x:v>Đạt</x:v>
      </x:c>
      <x:c r="O32" s="36" t="str"/>
      <x:c r="P32" s="36" t="str">
        <x:v>AI nghe: "Con gọi là bố."; khớp 41%; độ tin cậy -0.35; 2.75s; RMS -18.3 dBFS</x:v>
      </x:c>
      <x:c r="Q32" s="36" t="str">
        <x:v>AI nhận dạng được câu hỏi/trả lời tự nhiên; người kiểm thử xác nhận nội dung.</x:v>
      </x:c>
      <x:c r="R32" s="47" t="str">
        <x:v>Không cần sửa</x:v>
      </x:c>
      <x:c r="S32" s="46" t="str">
        <x:v>AI_PRECHECK_LARGE_V3_TURBO</x:v>
      </x:c>
      <x:c r="T32" s="69" t="n">
        <x:v>46227.3853940162</x:v>
      </x:c>
      <x:c r="U32" s="55" t="str">
        <x:v>Phụ huynh hỏi; trẻ trả lời tự nhiên. Chấp nhận cách gọi quen thuộc; không sửa giọng địa phương. Kết quả AI sơ bộ; cần người kiểm thử xác nhận.</x:v>
      </x:c>
      <x:c r="V32" s="56" t="str">
        <x:v>Nam 4 tuổi - Miền Bắc</x:v>
      </x:c>
      <x:c r="W32" s="56" t="str">
        <x:v>Nam</x:v>
      </x:c>
      <x:c r="X32" s="72" t="n">
        <x:v>4</x:v>
      </x:c>
      <x:c r="Y32" s="56" t="str">
        <x:v>Miền Bắc</x:v>
      </x:c>
      <x:c r="Z32" s="72" t="n">
        <x:v>11</x:v>
      </x:c>
      <x:c r="AA32" s="56" t="str">
        <x:v>Bé trai 4 tuổi giọng bắc\Bé trai 4 tuổi giọng bắc</x:v>
      </x:c>
      <x:c r="AB32" s="56" t="str">
        <x:v>M04-N-Q011.m4a</x:v>
      </x:c>
      <x:c r="AC32" s="56" t="str">
        <x:v>.m4a</x:v>
      </x:c>
      <x:c r="AD32" s="75" t="n">
        <x:v>28.7</x:v>
      </x:c>
      <x:c r="AE32" s="78" t="n">
        <x:v>46227.355877835646</x:v>
      </x:c>
      <x:c r="AF32" s="56" t="str">
        <x:v>Sẵn sàng</x:v>
      </x:c>
      <x:c r="AG32" s="57" t="str">
        <x:v>Con gọi là bố.</x:v>
      </x:c>
      <x:c r="AH32" s="81" t="n">
        <x:v>0.4136</x:v>
      </x:c>
      <x:c r="AI32" s="81" t="n">
        <x:v>0.3333</x:v>
      </x:c>
      <x:c r="AJ32" s="84" t="n">
        <x:v>-0.3548</x:v>
      </x:c>
      <x:c r="AK32" s="84" t="n">
        <x:v>0</x:v>
      </x:c>
      <x:c r="AL32" s="87" t="n">
        <x:v>2.7506666666666666</x:v>
      </x:c>
      <x:c r="AM32" s="87" t="n">
        <x:v>-18.311594075298416</x:v>
      </x:c>
      <x:c r="AN32" s="87" t="n">
        <x:v>-3.6153303041457847</x:v>
      </x:c>
      <x:c r="AO32" s="90" t="n">
        <x:v>0</x:v>
      </x:c>
      <x:c r="AP32" s="90" t="n">
        <x:v>0.4689999394086282</x:v>
      </x:c>
      <x:c r="AQ32" s="93" t="n">
        <x:v>48000</x:v>
      </x:c>
      <x:c r="AR32" s="93" t="n">
        <x:v>1</x:v>
      </x:c>
      <x:c r="AS32" s="59" t="b">
        <x:v>1</x:v>
      </x:c>
    </x:row>
    <x:row r="33" ht="32" customHeight="1">
      <x:c r="A33" s="42" t="str">
        <x:v>AIV0-M04-N-Q012</x:v>
      </x:c>
      <x:c r="B33" s="42" t="str">
        <x:v>AIV0-M04-NORTH</x:v>
      </x:c>
      <x:c r="C33" s="42" t="str">
        <x:v>Q012</x:v>
      </x:c>
      <x:c r="D33" s="33" t="str">
        <x:v>Ở chỗ con, mọi người hay nói ngô hay bắp?</x:v>
      </x:c>
      <x:c r="E33" s="21" t="str"/>
      <x:c r="F33" s="21" t="str">
        <x:v>Câu 12.m4a</x:v>
      </x:c>
      <x:c r="G33" s="21" t="str">
        <x:v>Câu 12.m4a</x:v>
      </x:c>
      <x:c r="H33" s="21" t="str">
        <x:v>C:\Users\Windows\Documents\DOCUMENTS DỰ ÁN SPEAKING AI\ÂM THANH SPEAKING AI\Bé trai 4 tuổi giọng bắc\Bé trai 4 tuổi giọng bắc\Câu 12.m4a</x:v>
      </x:c>
      <x:c r="I33" s="46" t="str">
        <x:v>local_013bee3aa5dfb162</x:v>
      </x:c>
      <x:c r="J33" s="46" t="str">
        <x:v>013bee3aa5dfb1628f8e7eb00aa83bcf723c759b67fc4ae0ca6564404e69c468</x:v>
      </x:c>
      <x:c r="K33" s="66" t="n">
        <x:v>1</x:v>
      </x:c>
      <x:c r="L33" s="46" t="str">
        <x:v>Đã ghép cục bộ</x:v>
      </x:c>
      <x:c r="M33" s="69" t="n">
        <x:v>46227.3856966088</x:v>
      </x:c>
      <x:c r="N33" s="47" t="str">
        <x:v>Kiểm thử lại</x:v>
      </x:c>
      <x:c r="O33" s="36" t="str">
        <x:v>Khó nghe</x:v>
      </x:c>
      <x:c r="P33" s="36" t="str">
        <x:v>AI nghe: "Cánh ngọt là ngon"; khớp 14%; độ tin cậy -0.44; 2.58s; RMS -21.7 dBFS</x:v>
      </x:c>
      <x:c r="Q33" s="36" t="str">
        <x:v>Nghe lại thủ công; chấp nhận cách gọi vùng miền tự nhiên.</x:v>
      </x:c>
      <x:c r="R33" s="47" t="str">
        <x:v>Đã đề xuất</x:v>
      </x:c>
      <x:c r="S33" s="46" t="str">
        <x:v>AI_PRECHECK_LARGE_V3_TURBO</x:v>
      </x:c>
      <x:c r="T33" s="69" t="n">
        <x:v>46227.3856966088</x:v>
      </x:c>
      <x:c r="U33" s="55" t="str">
        <x:v>Phụ huynh hỏi; trẻ trả lời tự nhiên. Chấp nhận cách gọi quen thuộc; không sửa giọng địa phương. Kết quả AI sơ bộ; cần người kiểm thử xác nhận.</x:v>
      </x:c>
      <x:c r="V33" s="56" t="str">
        <x:v>Nam 4 tuổi - Miền Bắc</x:v>
      </x:c>
      <x:c r="W33" s="56" t="str">
        <x:v>Nam</x:v>
      </x:c>
      <x:c r="X33" s="72" t="n">
        <x:v>4</x:v>
      </x:c>
      <x:c r="Y33" s="56" t="str">
        <x:v>Miền Bắc</x:v>
      </x:c>
      <x:c r="Z33" s="72" t="n">
        <x:v>12</x:v>
      </x:c>
      <x:c r="AA33" s="56" t="str">
        <x:v>Bé trai 4 tuổi giọng bắc\Bé trai 4 tuổi giọng bắc</x:v>
      </x:c>
      <x:c r="AB33" s="56" t="str">
        <x:v>M04-N-Q012.m4a</x:v>
      </x:c>
      <x:c r="AC33" s="56" t="str">
        <x:v>.m4a</x:v>
      </x:c>
      <x:c r="AD33" s="75" t="n">
        <x:v>27.1</x:v>
      </x:c>
      <x:c r="AE33" s="78" t="n">
        <x:v>46227.355906122684</x:v>
      </x:c>
      <x:c r="AF33" s="56" t="str">
        <x:v>Sẵn sàng</x:v>
      </x:c>
      <x:c r="AG33" s="57" t="str">
        <x:v>Cánh ngọt là ngon</x:v>
      </x:c>
      <x:c r="AH33" s="81" t="n">
        <x:v>0.1446</x:v>
      </x:c>
      <x:c r="AI33" s="81" t="n">
        <x:v>0</x:v>
      </x:c>
      <x:c r="AJ33" s="84" t="n">
        <x:v>-0.4401</x:v>
      </x:c>
      <x:c r="AK33" s="84" t="n">
        <x:v>0</x:v>
      </x:c>
      <x:c r="AL33" s="87" t="n">
        <x:v>2.58</x:v>
      </x:c>
      <x:c r="AM33" s="87" t="n">
        <x:v>-21.700567511141003</x:v>
      </x:c>
      <x:c r="AN33" s="87" t="n">
        <x:v>-7.569848459494707</x:v>
      </x:c>
      <x:c r="AO33" s="90" t="n">
        <x:v>0</x:v>
      </x:c>
      <x:c r="AP33" s="90" t="n">
        <x:v>0.35272932816537467</x:v>
      </x:c>
      <x:c r="AQ33" s="93" t="n">
        <x:v>48000</x:v>
      </x:c>
      <x:c r="AR33" s="93" t="n">
        <x:v>1</x:v>
      </x:c>
      <x:c r="AS33" s="59" t="b">
        <x:v>1</x:v>
      </x:c>
    </x:row>
    <x:row r="34" ht="32" customHeight="1">
      <x:c r="A34" s="42" t="str">
        <x:v>AIV0-M04-N-Q013</x:v>
      </x:c>
      <x:c r="B34" s="42" t="str">
        <x:v>AIV0-M04-NORTH</x:v>
      </x:c>
      <x:c r="C34" s="42" t="str">
        <x:v>Q013</x:v>
      </x:c>
      <x:c r="D34" s="33" t="str">
        <x:v>Con thấy con mèo.</x:v>
      </x:c>
      <x:c r="E34" s="21" t="str"/>
      <x:c r="F34" s="21" t="str">
        <x:v>Câu 13.m4a</x:v>
      </x:c>
      <x:c r="G34" s="21" t="str">
        <x:v>Câu 13.m4a</x:v>
      </x:c>
      <x:c r="H34" s="21" t="str">
        <x:v>C:\Users\Windows\Documents\DOCUMENTS DỰ ÁN SPEAKING AI\ÂM THANH SPEAKING AI\Bé trai 4 tuổi giọng bắc\Bé trai 4 tuổi giọng bắc\Câu 13.m4a</x:v>
      </x:c>
      <x:c r="I34" s="46" t="str">
        <x:v>local_59a75e52e5c9d26a</x:v>
      </x:c>
      <x:c r="J34" s="46" t="str">
        <x:v>59a75e52e5c9d26afe2c1fbd3cdfd446e8fd2637ede34ecbfc1474911a13c8be</x:v>
      </x:c>
      <x:c r="K34" s="66" t="n">
        <x:v>1</x:v>
      </x:c>
      <x:c r="L34" s="46" t="str">
        <x:v>Đã ghép cục bộ</x:v>
      </x:c>
      <x:c r="M34" s="69" t="n">
        <x:v>46227.386296122684</x:v>
      </x:c>
      <x:c r="N34" s="47" t="str">
        <x:v>Đạt</x:v>
      </x:c>
      <x:c r="O34" s="36" t="str"/>
      <x:c r="P34" s="36" t="str">
        <x:v>AI nghe: "Con thấy con mèo"; khớp 100%; độ tin cậy -0.51; 2.15s; RMS -19.7 dBFS</x:v>
      </x:c>
      <x:c r="Q34" s="36" t="str">
        <x:v>AI nhận dạng khớp câu mẫu; người kiểm thử nghe xác nhận.</x:v>
      </x:c>
      <x:c r="R34" s="47" t="str">
        <x:v>Không cần sửa</x:v>
      </x:c>
      <x:c r="S34" s="46" t="str">
        <x:v>AI_PRECHECK_LARGE_V3_TURBO</x:v>
      </x:c>
      <x:c r="T34" s="69" t="n">
        <x:v>46227.386296122684</x:v>
      </x:c>
      <x:c r="U34" s="55" t="str">
        <x:v>Nói theo câu mẫu. Đối chiếu nội dung và độ rõ. Kết quả AI sơ bộ; cần người kiểm thử xác nhận.</x:v>
      </x:c>
      <x:c r="V34" s="56" t="str">
        <x:v>Nam 4 tuổi - Miền Bắc</x:v>
      </x:c>
      <x:c r="W34" s="56" t="str">
        <x:v>Nam</x:v>
      </x:c>
      <x:c r="X34" s="72" t="n">
        <x:v>4</x:v>
      </x:c>
      <x:c r="Y34" s="56" t="str">
        <x:v>Miền Bắc</x:v>
      </x:c>
      <x:c r="Z34" s="72" t="n">
        <x:v>13</x:v>
      </x:c>
      <x:c r="AA34" s="56" t="str">
        <x:v>Bé trai 4 tuổi giọng bắc\Bé trai 4 tuổi giọng bắc</x:v>
      </x:c>
      <x:c r="AB34" s="56" t="str">
        <x:v>M04-N-Q013.m4a</x:v>
      </x:c>
      <x:c r="AC34" s="56" t="str">
        <x:v>.m4a</x:v>
      </x:c>
      <x:c r="AD34" s="75" t="n">
        <x:v>22.6</x:v>
      </x:c>
      <x:c r="AE34" s="78" t="n">
        <x:v>46227.355913900465</x:v>
      </x:c>
      <x:c r="AF34" s="56" t="str">
        <x:v>Sẵn sàng</x:v>
      </x:c>
      <x:c r="AG34" s="57" t="str">
        <x:v>Con thấy con mèo</x:v>
      </x:c>
      <x:c r="AH34" s="81" t="n">
        <x:v>1</x:v>
      </x:c>
      <x:c r="AI34" s="81" t="n">
        <x:v>1</x:v>
      </x:c>
      <x:c r="AJ34" s="84" t="n">
        <x:v>-0.5067</x:v>
      </x:c>
      <x:c r="AK34" s="84" t="n">
        <x:v>0</x:v>
      </x:c>
      <x:c r="AL34" s="87" t="n">
        <x:v>2.1533333333333333</x:v>
      </x:c>
      <x:c r="AM34" s="87" t="n">
        <x:v>-19.66713842218414</x:v>
      </x:c>
      <x:c r="AN34" s="87" t="n">
        <x:v>-5.222467782418406</x:v>
      </x:c>
      <x:c r="AO34" s="90" t="n">
        <x:v>0</x:v>
      </x:c>
      <x:c r="AP34" s="90" t="n">
        <x:v>0.4175503095975232</x:v>
      </x:c>
      <x:c r="AQ34" s="93" t="n">
        <x:v>48000</x:v>
      </x:c>
      <x:c r="AR34" s="93" t="n">
        <x:v>1</x:v>
      </x:c>
      <x:c r="AS34" s="59" t="b">
        <x:v>1</x:v>
      </x:c>
    </x:row>
    <x:row r="35" ht="32" customHeight="1">
      <x:c r="A35" s="42" t="str">
        <x:v>AIV0-M04-N-Q014</x:v>
      </x:c>
      <x:c r="B35" s="42" t="str">
        <x:v>AIV0-M04-NORTH</x:v>
      </x:c>
      <x:c r="C35" s="42" t="str">
        <x:v>Q014</x:v>
      </x:c>
      <x:c r="D35" s="33" t="str">
        <x:v>Con có một quả bóng.</x:v>
      </x:c>
      <x:c r="E35" s="21" t="str"/>
      <x:c r="F35" s="21" t="str">
        <x:v>Câu 14.m4a</x:v>
      </x:c>
      <x:c r="G35" s="21" t="str">
        <x:v>Câu 14.m4a</x:v>
      </x:c>
      <x:c r="H35" s="21" t="str">
        <x:v>C:\Users\Windows\Documents\DOCUMENTS DỰ ÁN SPEAKING AI\ÂM THANH SPEAKING AI\Bé trai 4 tuổi giọng bắc\Bé trai 4 tuổi giọng bắc\Câu 14.m4a</x:v>
      </x:c>
      <x:c r="I35" s="46" t="str">
        <x:v>local_871343d9b169d35d</x:v>
      </x:c>
      <x:c r="J35" s="46" t="str">
        <x:v>871343d9b169d35d48141d0ad22c7a2f5b47de4cf6f8c9298ac934a9cc5c681c</x:v>
      </x:c>
      <x:c r="K35" s="66" t="n">
        <x:v>1</x:v>
      </x:c>
      <x:c r="L35" s="46" t="str">
        <x:v>Đã ghép cục bộ</x:v>
      </x:c>
      <x:c r="M35" s="69" t="n">
        <x:v>46227.38670159722</x:v>
      </x:c>
      <x:c r="N35" s="47" t="str">
        <x:v>Kiểm thử lại</x:v>
      </x:c>
      <x:c r="O35" s="36" t="str">
        <x:v>Khó nghe</x:v>
      </x:c>
      <x:c r="P35" s="36" t="str">
        <x:v>AI nghe: "Còn có một quà báo"; khớp 85%; độ tin cậy -0.32; 2.58s; RMS -21.8 dBFS</x:v>
      </x:c>
      <x:c r="Q35" s="36" t="str">
        <x:v>Nghe lại thủ công; xác nhận các từ AI nhận dạng chưa chắc chắn.</x:v>
      </x:c>
      <x:c r="R35" s="47" t="str">
        <x:v>Đã đề xuất</x:v>
      </x:c>
      <x:c r="S35" s="46" t="str">
        <x:v>AI_PRECHECK_LARGE_V3_TURBO</x:v>
      </x:c>
      <x:c r="T35" s="69" t="n">
        <x:v>46227.38670159722</x:v>
      </x:c>
      <x:c r="U35" s="55" t="str">
        <x:v>Nói theo câu mẫu. Đối chiếu nội dung và độ rõ. Kết quả AI sơ bộ; cần người kiểm thử xác nhận.</x:v>
      </x:c>
      <x:c r="V35" s="56" t="str">
        <x:v>Nam 4 tuổi - Miền Bắc</x:v>
      </x:c>
      <x:c r="W35" s="56" t="str">
        <x:v>Nam</x:v>
      </x:c>
      <x:c r="X35" s="72" t="n">
        <x:v>4</x:v>
      </x:c>
      <x:c r="Y35" s="56" t="str">
        <x:v>Miền Bắc</x:v>
      </x:c>
      <x:c r="Z35" s="72" t="n">
        <x:v>14</x:v>
      </x:c>
      <x:c r="AA35" s="56" t="str">
        <x:v>Bé trai 4 tuổi giọng bắc\Bé trai 4 tuổi giọng bắc</x:v>
      </x:c>
      <x:c r="AB35" s="56" t="str">
        <x:v>M04-N-Q014.m4a</x:v>
      </x:c>
      <x:c r="AC35" s="56" t="str">
        <x:v>.m4a</x:v>
      </x:c>
      <x:c r="AD35" s="75" t="n">
        <x:v>27.2</x:v>
      </x:c>
      <x:c r="AE35" s="78" t="n">
        <x:v>46227.355919131944</x:v>
      </x:c>
      <x:c r="AF35" s="56" t="str">
        <x:v>Sẵn sàng</x:v>
      </x:c>
      <x:c r="AG35" s="57" t="str">
        <x:v>Còn có một quà báo</x:v>
      </x:c>
      <x:c r="AH35" s="81" t="n">
        <x:v>0.8535</x:v>
      </x:c>
      <x:c r="AI35" s="81" t="n">
        <x:v>0.8</x:v>
      </x:c>
      <x:c r="AJ35" s="84" t="n">
        <x:v>-0.3191</x:v>
      </x:c>
      <x:c r="AK35" s="84" t="n">
        <x:v>0</x:v>
      </x:c>
      <x:c r="AL35" s="87" t="n">
        <x:v>2.58</x:v>
      </x:c>
      <x:c r="AM35" s="87" t="n">
        <x:v>-21.801503702642393</x:v>
      </x:c>
      <x:c r="AN35" s="87" t="n">
        <x:v>-6.417178134413692</x:v>
      </x:c>
      <x:c r="AO35" s="90" t="n">
        <x:v>0</x:v>
      </x:c>
      <x:c r="AP35" s="90" t="n">
        <x:v>0.3237887596899225</x:v>
      </x:c>
      <x:c r="AQ35" s="93" t="n">
        <x:v>48000</x:v>
      </x:c>
      <x:c r="AR35" s="93" t="n">
        <x:v>1</x:v>
      </x:c>
      <x:c r="AS35" s="59" t="b">
        <x:v>1</x:v>
      </x:c>
    </x:row>
    <x:row r="36" ht="32" customHeight="1">
      <x:c r="A36" s="42" t="str">
        <x:v>AIV0-M04-N-Q015</x:v>
      </x:c>
      <x:c r="B36" s="42" t="str">
        <x:v>AIV0-M04-NORTH</x:v>
      </x:c>
      <x:c r="C36" s="42" t="str">
        <x:v>Q015</x:v>
      </x:c>
      <x:c r="D36" s="33" t="str">
        <x:v>Con muốn đi chơi.</x:v>
      </x:c>
      <x:c r="E36" s="21" t="str"/>
      <x:c r="F36" s="21" t="str">
        <x:v>Câu 15.m4a</x:v>
      </x:c>
      <x:c r="G36" s="21" t="str">
        <x:v>Câu 15.m4a</x:v>
      </x:c>
      <x:c r="H36" s="21" t="str">
        <x:v>C:\Users\Windows\Documents\DOCUMENTS DỰ ÁN SPEAKING AI\ÂM THANH SPEAKING AI\Bé trai 4 tuổi giọng bắc\Bé trai 4 tuổi giọng bắc\Câu 15.m4a</x:v>
      </x:c>
      <x:c r="I36" s="46" t="str">
        <x:v>local_017d7bb02b43cee9</x:v>
      </x:c>
      <x:c r="J36" s="46" t="str">
        <x:v>017d7bb02b43cee92301471386effbb7896a22fa6f5f7149585bbcce0871a41f</x:v>
      </x:c>
      <x:c r="K36" s="66" t="n">
        <x:v>1</x:v>
      </x:c>
      <x:c r="L36" s="46" t="str">
        <x:v>Đã ghép cục bộ</x:v>
      </x:c>
      <x:c r="M36" s="69" t="n">
        <x:v>46227.38716466435</x:v>
      </x:c>
      <x:c r="N36" s="47" t="str">
        <x:v>Không đạt</x:v>
      </x:c>
      <x:c r="O36" s="36" t="str">
        <x:v>Nghe không rõ; Nội dung không đúng câu mẫu</x:v>
      </x:c>
      <x:c r="P36" s="36" t="str">
        <x:v>AI nghe: "Cảm ơn DJ"; khớp 22%; độ tin cậy -0.73; 1.98s; RMS -23.2 dBFS</x:v>
      </x:c>
      <x:c r="Q36" s="36" t="str">
        <x:v>Thu lại đúng câu mẫu với tốc độ và âm lượng rõ hơn.</x:v>
      </x:c>
      <x:c r="R36" s="47" t="str">
        <x:v>Đã đề xuất</x:v>
      </x:c>
      <x:c r="S36" s="46" t="str">
        <x:v>AI_PRECHECK_LARGE_V3_TURBO</x:v>
      </x:c>
      <x:c r="T36" s="69" t="n">
        <x:v>46227.38716466435</x:v>
      </x:c>
      <x:c r="U36" s="55" t="str">
        <x:v>Nói theo câu mẫu. Đối chiếu nội dung và độ rõ. Kết quả AI sơ bộ; cần người kiểm thử xác nhận.</x:v>
      </x:c>
      <x:c r="V36" s="56" t="str">
        <x:v>Nam 4 tuổi - Miền Bắc</x:v>
      </x:c>
      <x:c r="W36" s="56" t="str">
        <x:v>Nam</x:v>
      </x:c>
      <x:c r="X36" s="72" t="n">
        <x:v>4</x:v>
      </x:c>
      <x:c r="Y36" s="56" t="str">
        <x:v>Miền Bắc</x:v>
      </x:c>
      <x:c r="Z36" s="72" t="n">
        <x:v>15</x:v>
      </x:c>
      <x:c r="AA36" s="56" t="str">
        <x:v>Bé trai 4 tuổi giọng bắc\Bé trai 4 tuổi giọng bắc</x:v>
      </x:c>
      <x:c r="AB36" s="56" t="str">
        <x:v>M04-N-Q015.m4a</x:v>
      </x:c>
      <x:c r="AC36" s="56" t="str">
        <x:v>.m4a</x:v>
      </x:c>
      <x:c r="AD36" s="75" t="n">
        <x:v>20.8</x:v>
      </x:c>
      <x:c r="AE36" s="78" t="n">
        <x:v>46227.35597631944</x:v>
      </x:c>
      <x:c r="AF36" s="56" t="str">
        <x:v>Sẵn sàng</x:v>
      </x:c>
      <x:c r="AG36" s="57" t="str">
        <x:v>Cảm ơn DJ</x:v>
      </x:c>
      <x:c r="AH36" s="81" t="n">
        <x:v>0.216</x:v>
      </x:c>
      <x:c r="AI36" s="81" t="n">
        <x:v>0</x:v>
      </x:c>
      <x:c r="AJ36" s="84" t="n">
        <x:v>-0.7347</x:v>
      </x:c>
      <x:c r="AK36" s="84" t="n">
        <x:v>0</x:v>
      </x:c>
      <x:c r="AL36" s="87" t="n">
        <x:v>1.9826666666666666</x:v>
      </x:c>
      <x:c r="AM36" s="87" t="n">
        <x:v>-23.234717169092075</x:v>
      </x:c>
      <x:c r="AN36" s="87" t="n">
        <x:v>-8.618220174778395</x:v>
      </x:c>
      <x:c r="AO36" s="90" t="n">
        <x:v>0</x:v>
      </x:c>
      <x:c r="AP36" s="90" t="n">
        <x:v>0.40177370544720914</x:v>
      </x:c>
      <x:c r="AQ36" s="93" t="n">
        <x:v>48000</x:v>
      </x:c>
      <x:c r="AR36" s="93" t="n">
        <x:v>1</x:v>
      </x:c>
      <x:c r="AS36" s="59" t="b">
        <x:v>1</x:v>
      </x:c>
    </x:row>
    <x:row r="37" ht="32" customHeight="1">
      <x:c r="A37" s="42" t="str">
        <x:v>AIV0-M04-N-Q016</x:v>
      </x:c>
      <x:c r="B37" s="42" t="str">
        <x:v>AIV0-M04-NORTH</x:v>
      </x:c>
      <x:c r="C37" s="42" t="str">
        <x:v>Q016</x:v>
      </x:c>
      <x:c r="D37" s="33" t="str">
        <x:v>Mẹ ơi, con cần giúp.</x:v>
      </x:c>
      <x:c r="E37" s="21" t="str"/>
      <x:c r="F37" s="21" t="str">
        <x:v>Câu 16.m4a</x:v>
      </x:c>
      <x:c r="G37" s="21" t="str">
        <x:v>Câu 16.m4a</x:v>
      </x:c>
      <x:c r="H37" s="21" t="str">
        <x:v>C:\Users\Windows\Documents\DOCUMENTS DỰ ÁN SPEAKING AI\ÂM THANH SPEAKING AI\Bé trai 4 tuổi giọng bắc\Bé trai 4 tuổi giọng bắc\Câu 16.m4a</x:v>
      </x:c>
      <x:c r="I37" s="46" t="str">
        <x:v>local_7e5d26d0c8c0b3b7</x:v>
      </x:c>
      <x:c r="J37" s="46" t="str">
        <x:v>7e5d26d0c8c0b3b7ad997c995c04ae41810cba9247010ec81dccbd31bb3d994b</x:v>
      </x:c>
      <x:c r="K37" s="66" t="n">
        <x:v>1</x:v>
      </x:c>
      <x:c r="L37" s="46" t="str">
        <x:v>Đã ghép cục bộ</x:v>
      </x:c>
      <x:c r="M37" s="69" t="n">
        <x:v>46227.38736356481</x:v>
      </x:c>
      <x:c r="N37" s="47" t="str">
        <x:v>Không đạt</x:v>
      </x:c>
      <x:c r="O37" s="36" t="str">
        <x:v>Nghe không rõ; Nội dung không đúng câu mẫu</x:v>
      </x:c>
      <x:c r="P37" s="36" t="str">
        <x:v>AI nghe: "Hãy subscribe cho kênh La La School Để không bỏ lỡ những video hấp dẫn"; khớp 10%; độ tin cậy -0.24; 2.24s; RMS -26.4 dBFS</x:v>
      </x:c>
      <x:c r="Q37" s="36" t="str">
        <x:v>Thu lại đúng câu mẫu với tốc độ và âm lượng rõ hơn.</x:v>
      </x:c>
      <x:c r="R37" s="47" t="str">
        <x:v>Đã đề xuất</x:v>
      </x:c>
      <x:c r="S37" s="46" t="str">
        <x:v>AI_PRECHECK_LARGE_V3_TURBO</x:v>
      </x:c>
      <x:c r="T37" s="69" t="n">
        <x:v>46227.38736356481</x:v>
      </x:c>
      <x:c r="U37" s="55" t="str">
        <x:v>Nói theo câu mẫu. Đối chiếu nội dung và độ rõ. Kết quả AI sơ bộ; cần người kiểm thử xác nhận.</x:v>
      </x:c>
      <x:c r="V37" s="56" t="str">
        <x:v>Nam 4 tuổi - Miền Bắc</x:v>
      </x:c>
      <x:c r="W37" s="56" t="str">
        <x:v>Nam</x:v>
      </x:c>
      <x:c r="X37" s="72" t="n">
        <x:v>4</x:v>
      </x:c>
      <x:c r="Y37" s="56" t="str">
        <x:v>Miền Bắc</x:v>
      </x:c>
      <x:c r="Z37" s="72" t="n">
        <x:v>16</x:v>
      </x:c>
      <x:c r="AA37" s="56" t="str">
        <x:v>Bé trai 4 tuổi giọng bắc\Bé trai 4 tuổi giọng bắc</x:v>
      </x:c>
      <x:c r="AB37" s="56" t="str">
        <x:v>M04-N-Q016.m4a</x:v>
      </x:c>
      <x:c r="AC37" s="56" t="str">
        <x:v>.m4a</x:v>
      </x:c>
      <x:c r="AD37" s="75" t="n">
        <x:v>23.3</x:v>
      </x:c>
      <x:c r="AE37" s="78" t="n">
        <x:v>46227.355993136574</x:v>
      </x:c>
      <x:c r="AF37" s="56" t="str">
        <x:v>Sẵn sàng</x:v>
      </x:c>
      <x:c r="AG37" s="57" t="str">
        <x:v>Hãy subscribe cho kênh La La School Để không bỏ lỡ những video hấp dẫn</x:v>
      </x:c>
      <x:c r="AH37" s="81" t="n">
        <x:v>0.1023</x:v>
      </x:c>
      <x:c r="AI37" s="81" t="n">
        <x:v>0</x:v>
      </x:c>
      <x:c r="AJ37" s="84" t="n">
        <x:v>-0.236</x:v>
      </x:c>
      <x:c r="AK37" s="84" t="n">
        <x:v>0</x:v>
      </x:c>
      <x:c r="AL37" s="87" t="n">
        <x:v>2.2386666666666666</x:v>
      </x:c>
      <x:c r="AM37" s="87" t="n">
        <x:v>-26.3728214906913</x:v>
      </x:c>
      <x:c r="AN37" s="87" t="n">
        <x:v>-10.724494038054136</x:v>
      </x:c>
      <x:c r="AO37" s="90" t="n">
        <x:v>0</x:v>
      </x:c>
      <x:c r="AP37" s="90" t="n">
        <x:v>0.44269282310899344</x:v>
      </x:c>
      <x:c r="AQ37" s="93" t="n">
        <x:v>48000</x:v>
      </x:c>
      <x:c r="AR37" s="93" t="n">
        <x:v>1</x:v>
      </x:c>
      <x:c r="AS37" s="59" t="b">
        <x:v>1</x:v>
      </x:c>
    </x:row>
    <x:row r="38" ht="32" customHeight="1">
      <x:c r="A38" s="42" t="str">
        <x:v>AIV0-M04-N-Q017</x:v>
      </x:c>
      <x:c r="B38" s="42" t="str">
        <x:v>AIV0-M04-NORTH</x:v>
      </x:c>
      <x:c r="C38" s="42" t="str">
        <x:v>Q017</x:v>
      </x:c>
      <x:c r="D38" s="33" t="str">
        <x:v>Con muốn uống nước.</x:v>
      </x:c>
      <x:c r="E38" s="21" t="str"/>
      <x:c r="F38" s="21" t="str">
        <x:v>Câu 17.m4a</x:v>
      </x:c>
      <x:c r="G38" s="21" t="str">
        <x:v>Câu 17.m4a</x:v>
      </x:c>
      <x:c r="H38" s="21" t="str">
        <x:v>C:\Users\Windows\Documents\DOCUMENTS DỰ ÁN SPEAKING AI\ÂM THANH SPEAKING AI\Bé trai 4 tuổi giọng bắc\Bé trai 4 tuổi giọng bắc\Câu 17.m4a</x:v>
      </x:c>
      <x:c r="I38" s="46" t="str">
        <x:v>local_b1dca48f779fac2e</x:v>
      </x:c>
      <x:c r="J38" s="46" t="str">
        <x:v>b1dca48f779fac2ed3b488a5a1f28617d884735c3b105c5256de91895f8192b8</x:v>
      </x:c>
      <x:c r="K38" s="66" t="n">
        <x:v>1</x:v>
      </x:c>
      <x:c r="L38" s="46" t="str">
        <x:v>Đã ghép cục bộ</x:v>
      </x:c>
      <x:c r="M38" s="69" t="n">
        <x:v>46227.38754915509</x:v>
      </x:c>
      <x:c r="N38" s="47" t="str">
        <x:v>Không đạt</x:v>
      </x:c>
      <x:c r="O38" s="36" t="str">
        <x:v>Nghe không rõ; Nội dung không đúng câu mẫu</x:v>
      </x:c>
      <x:c r="P38" s="36" t="str">
        <x:v>AI nghe: "Hãy subscribe cho kênh La La School Để không bỏ lỡ những video hấp dẫn"; khớp 13%; độ tin cậy -0.30; 2.24s; RMS -23.1 dBFS</x:v>
      </x:c>
      <x:c r="Q38" s="36" t="str">
        <x:v>Thu lại đúng câu mẫu với tốc độ và âm lượng rõ hơn.</x:v>
      </x:c>
      <x:c r="R38" s="47" t="str">
        <x:v>Đã đề xuất</x:v>
      </x:c>
      <x:c r="S38" s="46" t="str">
        <x:v>AI_PRECHECK_LARGE_V3_TURBO</x:v>
      </x:c>
      <x:c r="T38" s="69" t="n">
        <x:v>46227.38754915509</x:v>
      </x:c>
      <x:c r="U38" s="55" t="str">
        <x:v>Bật quạt mức vừa. Đánh giá độ rõ khi có tiếng quạt nền. Kết quả AI sơ bộ; cần người kiểm thử xác nhận.</x:v>
      </x:c>
      <x:c r="V38" s="56" t="str">
        <x:v>Nam 4 tuổi - Miền Bắc</x:v>
      </x:c>
      <x:c r="W38" s="56" t="str">
        <x:v>Nam</x:v>
      </x:c>
      <x:c r="X38" s="72" t="n">
        <x:v>4</x:v>
      </x:c>
      <x:c r="Y38" s="56" t="str">
        <x:v>Miền Bắc</x:v>
      </x:c>
      <x:c r="Z38" s="72" t="n">
        <x:v>17</x:v>
      </x:c>
      <x:c r="AA38" s="56" t="str">
        <x:v>Bé trai 4 tuổi giọng bắc\Bé trai 4 tuổi giọng bắc</x:v>
      </x:c>
      <x:c r="AB38" s="56" t="str">
        <x:v>M04-N-Q017.m4a</x:v>
      </x:c>
      <x:c r="AC38" s="56" t="str">
        <x:v>.m4a</x:v>
      </x:c>
      <x:c r="AD38" s="75" t="n">
        <x:v>22.1</x:v>
      </x:c>
      <x:c r="AE38" s="78" t="n">
        <x:v>46227.356003622685</x:v>
      </x:c>
      <x:c r="AF38" s="56" t="str">
        <x:v>Sẵn sàng</x:v>
      </x:c>
      <x:c r="AG38" s="57" t="str">
        <x:v>Hãy subscribe cho kênh La La School Để không bỏ lỡ những video hấp dẫn</x:v>
      </x:c>
      <x:c r="AH38" s="81" t="n">
        <x:v>0.133</x:v>
      </x:c>
      <x:c r="AI38" s="81" t="n">
        <x:v>0</x:v>
      </x:c>
      <x:c r="AJ38" s="84" t="n">
        <x:v>-0.3027</x:v>
      </x:c>
      <x:c r="AK38" s="84" t="n">
        <x:v>0</x:v>
      </x:c>
      <x:c r="AL38" s="87" t="n">
        <x:v>2.2386666666666666</x:v>
      </x:c>
      <x:c r="AM38" s="87" t="n">
        <x:v>-23.105901885293875</x:v>
      </x:c>
      <x:c r="AN38" s="87" t="n">
        <x:v>-7.936612421847777</x:v>
      </x:c>
      <x:c r="AO38" s="90" t="n">
        <x:v>0</x:v>
      </x:c>
      <x:c r="AP38" s="90" t="n">
        <x:v>0.2791375074449077</x:v>
      </x:c>
      <x:c r="AQ38" s="93" t="n">
        <x:v>48000</x:v>
      </x:c>
      <x:c r="AR38" s="93" t="n">
        <x:v>1</x:v>
      </x:c>
      <x:c r="AS38" s="59" t="b">
        <x:v>1</x:v>
      </x:c>
    </x:row>
    <x:row r="39" ht="32" customHeight="1">
      <x:c r="A39" s="42" t="str">
        <x:v>AIV0-M04-N-Q018</x:v>
      </x:c>
      <x:c r="B39" s="42" t="str">
        <x:v>AIV0-M04-NORTH</x:v>
      </x:c>
      <x:c r="C39" s="42" t="str">
        <x:v>Q018</x:v>
      </x:c>
      <x:c r="D39" s="33" t="str">
        <x:v>Con không hiểu.</x:v>
      </x:c>
      <x:c r="E39" s="21" t="str"/>
      <x:c r="F39" s="21" t="str">
        <x:v>Câu 18.m4a</x:v>
      </x:c>
      <x:c r="G39" s="21" t="str">
        <x:v>Câu 18.m4a</x:v>
      </x:c>
      <x:c r="H39" s="21" t="str">
        <x:v>C:\Users\Windows\Documents\DOCUMENTS DỰ ÁN SPEAKING AI\ÂM THANH SPEAKING AI\Bé trai 4 tuổi giọng bắc\Bé trai 4 tuổi giọng bắc\Câu 18.m4a</x:v>
      </x:c>
      <x:c r="I39" s="46" t="str">
        <x:v>local_70d4e9f23f598a26</x:v>
      </x:c>
      <x:c r="J39" s="46" t="str">
        <x:v>70d4e9f23f598a2694f83d2e33908d03c94deb3be939501f3db62c7c27a7edc3</x:v>
      </x:c>
      <x:c r="K39" s="66" t="n">
        <x:v>1</x:v>
      </x:c>
      <x:c r="L39" s="46" t="str">
        <x:v>Đã ghép cục bộ</x:v>
      </x:c>
      <x:c r="M39" s="69" t="n">
        <x:v>46227.38773407407</x:v>
      </x:c>
      <x:c r="N39" s="47" t="str">
        <x:v>Không đạt</x:v>
      </x:c>
      <x:c r="O39" s="36" t="str">
        <x:v>Nghe không rõ; Nội dung không đúng câu mẫu</x:v>
      </x:c>
      <x:c r="P39" s="36" t="str">
        <x:v>AI nghe: "Hãy subscribe cho kênh La La School Để không bỏ lỡ những video hấp dẫn"; khớp 21%; độ tin cậy -0.24; 1.56s; RMS -23.1 dBFS</x:v>
      </x:c>
      <x:c r="Q39" s="36" t="str">
        <x:v>Thu lại đúng câu mẫu với tốc độ và âm lượng rõ hơn.</x:v>
      </x:c>
      <x:c r="R39" s="47" t="str">
        <x:v>Đã đề xuất</x:v>
      </x:c>
      <x:c r="S39" s="46" t="str">
        <x:v>AI_PRECHECK_LARGE_V3_TURBO</x:v>
      </x:c>
      <x:c r="T39" s="69" t="n">
        <x:v>46227.38773407407</x:v>
      </x:c>
      <x:c r="U39" s="55" t="str">
        <x:v>Bật TV nhỏ. Đánh giá độ rõ khi có tiếng TV nền. Kết quả AI sơ bộ; cần người kiểm thử xác nhận.</x:v>
      </x:c>
      <x:c r="V39" s="56" t="str">
        <x:v>Nam 4 tuổi - Miền Bắc</x:v>
      </x:c>
      <x:c r="W39" s="56" t="str">
        <x:v>Nam</x:v>
      </x:c>
      <x:c r="X39" s="72" t="n">
        <x:v>4</x:v>
      </x:c>
      <x:c r="Y39" s="56" t="str">
        <x:v>Miền Bắc</x:v>
      </x:c>
      <x:c r="Z39" s="72" t="n">
        <x:v>18</x:v>
      </x:c>
      <x:c r="AA39" s="56" t="str">
        <x:v>Bé trai 4 tuổi giọng bắc\Bé trai 4 tuổi giọng bắc</x:v>
      </x:c>
      <x:c r="AB39" s="56" t="str">
        <x:v>M04-N-Q018.m4a</x:v>
      </x:c>
      <x:c r="AC39" s="56" t="str">
        <x:v>.m4a</x:v>
      </x:c>
      <x:c r="AD39" s="75" t="n">
        <x:v>16</x:v>
      </x:c>
      <x:c r="AE39" s="78" t="n">
        <x:v>46227.35601289352</x:v>
      </x:c>
      <x:c r="AF39" s="56" t="str">
        <x:v>Sẵn sàng</x:v>
      </x:c>
      <x:c r="AG39" s="57" t="str">
        <x:v>Hãy subscribe cho kênh La La School Để không bỏ lỡ những video hấp dẫn</x:v>
      </x:c>
      <x:c r="AH39" s="81" t="n">
        <x:v>0.206</x:v>
      </x:c>
      <x:c r="AI39" s="81" t="n">
        <x:v>0.3333</x:v>
      </x:c>
      <x:c r="AJ39" s="84" t="n">
        <x:v>-0.2376</x:v>
      </x:c>
      <x:c r="AK39" s="84" t="n">
        <x:v>0</x:v>
      </x:c>
      <x:c r="AL39" s="87" t="n">
        <x:v>1.556</x:v>
      </x:c>
      <x:c r="AM39" s="87" t="n">
        <x:v>-23.054993170456086</x:v>
      </x:c>
      <x:c r="AN39" s="87" t="n">
        <x:v>-8.258464169793463</x:v>
      </x:c>
      <x:c r="AO39" s="90" t="n">
        <x:v>0</x:v>
      </x:c>
      <x:c r="AP39" s="90" t="n">
        <x:v>0.19209243787489289</x:v>
      </x:c>
      <x:c r="AQ39" s="93" t="n">
        <x:v>48000</x:v>
      </x:c>
      <x:c r="AR39" s="93" t="n">
        <x:v>1</x:v>
      </x:c>
      <x:c r="AS39" s="59" t="b">
        <x:v>1</x:v>
      </x:c>
    </x:row>
    <x:row r="40" ht="32" customHeight="1">
      <x:c r="A40" s="42" t="str">
        <x:v>AIV0-M04-N-Q019</x:v>
      </x:c>
      <x:c r="B40" s="42" t="str">
        <x:v>AIV0-M04-NORTH</x:v>
      </x:c>
      <x:c r="C40" s="42" t="str">
        <x:v>Q019</x:v>
      </x:c>
      <x:c r="D40" s="33" t="str">
        <x:v>Cô/chú nói chậm lại nhé.</x:v>
      </x:c>
      <x:c r="E40" s="21" t="str"/>
      <x:c r="F40" s="21" t="str">
        <x:v>Câu 19.m4a</x:v>
      </x:c>
      <x:c r="G40" s="21" t="str">
        <x:v>Câu 19.m4a</x:v>
      </x:c>
      <x:c r="H40" s="21" t="str">
        <x:v>C:\Users\Windows\Documents\DOCUMENTS DỰ ÁN SPEAKING AI\ÂM THANH SPEAKING AI\Bé trai 4 tuổi giọng bắc\Bé trai 4 tuổi giọng bắc\Câu 19.m4a</x:v>
      </x:c>
      <x:c r="I40" s="46" t="str">
        <x:v>local_96155ace10f5ed66</x:v>
      </x:c>
      <x:c r="J40" s="46" t="str">
        <x:v>96155ace10f5ed66e531e080fa66167c6946fc4e10f5cce588c966882b729ec1</x:v>
      </x:c>
      <x:c r="K40" s="66" t="n">
        <x:v>1</x:v>
      </x:c>
      <x:c r="L40" s="46" t="str">
        <x:v>Đã ghép cục bộ</x:v>
      </x:c>
      <x:c r="M40" s="69" t="n">
        <x:v>46227.38790483796</x:v>
      </x:c>
      <x:c r="N40" s="47" t="str">
        <x:v>Kiểm thử lại</x:v>
      </x:c>
      <x:c r="O40" s="36" t="str">
        <x:v>Khó nghe</x:v>
      </x:c>
      <x:c r="P40" s="36" t="str">
        <x:v>AI nghe: "Cô nói chẳng lạc nhé!"; khớp 63%; độ tin cậy -0.33; 2.75s; RMS -22.5 dBFS</x:v>
      </x:c>
      <x:c r="Q40" s="36" t="str">
        <x:v>Nghe lại thủ công; xác nhận các từ AI nhận dạng chưa chắc chắn.</x:v>
      </x:c>
      <x:c r="R40" s="47" t="str">
        <x:v>Đã đề xuất</x:v>
      </x:c>
      <x:c r="S40" s="46" t="str">
        <x:v>AI_PRECHECK_LARGE_V3_TURBO</x:v>
      </x:c>
      <x:c r="T40" s="69" t="n">
        <x:v>46227.38790483796</x:v>
      </x:c>
      <x:c r="U40" s="55" t="str">
        <x:v>Người lớn nói từ khoảng cách xa hơn. Đánh giá khả năng nghe và phản hồi. Kết quả AI sơ bộ; cần người kiểm thử xác nhận.</x:v>
      </x:c>
      <x:c r="V40" s="56" t="str">
        <x:v>Nam 4 tuổi - Miền Bắc</x:v>
      </x:c>
      <x:c r="W40" s="56" t="str">
        <x:v>Nam</x:v>
      </x:c>
      <x:c r="X40" s="72" t="n">
        <x:v>4</x:v>
      </x:c>
      <x:c r="Y40" s="56" t="str">
        <x:v>Miền Bắc</x:v>
      </x:c>
      <x:c r="Z40" s="72" t="n">
        <x:v>19</x:v>
      </x:c>
      <x:c r="AA40" s="56" t="str">
        <x:v>Bé trai 4 tuổi giọng bắc\Bé trai 4 tuổi giọng bắc</x:v>
      </x:c>
      <x:c r="AB40" s="56" t="str">
        <x:v>M04-N-Q019.m4a</x:v>
      </x:c>
      <x:c r="AC40" s="56" t="str">
        <x:v>.m4a</x:v>
      </x:c>
      <x:c r="AD40" s="75" t="n">
        <x:v>27.5</x:v>
      </x:c>
      <x:c r="AE40" s="78" t="n">
        <x:v>46227.35604546296</x:v>
      </x:c>
      <x:c r="AF40" s="56" t="str">
        <x:v>Sẵn sàng</x:v>
      </x:c>
      <x:c r="AG40" s="57" t="str">
        <x:v>Cô nói chẳng lạc nhé!</x:v>
      </x:c>
      <x:c r="AH40" s="81" t="n">
        <x:v>0.6308</x:v>
      </x:c>
      <x:c r="AI40" s="81" t="n">
        <x:v>0.5</x:v>
      </x:c>
      <x:c r="AJ40" s="84" t="n">
        <x:v>-0.3336</x:v>
      </x:c>
      <x:c r="AK40" s="84" t="n">
        <x:v>0</x:v>
      </x:c>
      <x:c r="AL40" s="87" t="n">
        <x:v>2.7506666666666666</x:v>
      </x:c>
      <x:c r="AM40" s="87" t="n">
        <x:v>-22.494952733372948</x:v>
      </x:c>
      <x:c r="AN40" s="87" t="n">
        <x:v>-6.096394497558099</x:v>
      </x:c>
      <x:c r="AO40" s="90" t="n">
        <x:v>0</x:v>
      </x:c>
      <x:c r="AP40" s="90" t="n">
        <x:v>0.19392268540959767</x:v>
      </x:c>
      <x:c r="AQ40" s="93" t="n">
        <x:v>48000</x:v>
      </x:c>
      <x:c r="AR40" s="93" t="n">
        <x:v>1</x:v>
      </x:c>
      <x:c r="AS40" s="59" t="b">
        <x:v>1</x:v>
      </x:c>
    </x:row>
    <x:row r="41" ht="32" customHeight="1">
      <x:c r="A41" s="42" t="str">
        <x:v>AIV0-M04-N-Q020</x:v>
      </x:c>
      <x:c r="B41" s="42" t="str">
        <x:v>AIV0-M04-NORTH</x:v>
      </x:c>
      <x:c r="C41" s="42" t="str">
        <x:v>Q020</x:v>
      </x:c>
      <x:c r="D41" s="33" t="str">
        <x:v>Con muốn chơi với bạn.</x:v>
      </x:c>
      <x:c r="E41" s="21" t="str"/>
      <x:c r="F41" s="21" t="str">
        <x:v>Câu 20.m4a</x:v>
      </x:c>
      <x:c r="G41" s="21" t="str">
        <x:v>Câu 20.m4a</x:v>
      </x:c>
      <x:c r="H41" s="21" t="str">
        <x:v>C:\Users\Windows\Documents\DOCUMENTS DỰ ÁN SPEAKING AI\ÂM THANH SPEAKING AI\Bé trai 4 tuổi giọng bắc\Bé trai 4 tuổi giọng bắc\Câu 20.m4a</x:v>
      </x:c>
      <x:c r="I41" s="46" t="str">
        <x:v>local_5dcaa789a0278ec4</x:v>
      </x:c>
      <x:c r="J41" s="46" t="str">
        <x:v>5dcaa789a0278ec49fd2aeb414c201c02fcf338ba99f1f423ceee3570bc501ab</x:v>
      </x:c>
      <x:c r="K41" s="66" t="n">
        <x:v>1</x:v>
      </x:c>
      <x:c r="L41" s="46" t="str">
        <x:v>Đã ghép cục bộ</x:v>
      </x:c>
      <x:c r="M41" s="69" t="n">
        <x:v>46227.388078668984</x:v>
      </x:c>
      <x:c r="N41" s="47" t="str">
        <x:v>Kiểm thử lại</x:v>
      </x:c>
      <x:c r="O41" s="36" t="str">
        <x:v>Khó nghe</x:v>
      </x:c>
      <x:c r="P41" s="36" t="str">
        <x:v>AI nghe: "Tôi muốn chơi với bạn."; khớp 85%; độ tin cậy -0.40; 2.24s; RMS -20.0 dBFS</x:v>
      </x:c>
      <x:c r="Q41" s="36" t="str">
        <x:v>Nghe lại thủ công; xác nhận các từ AI nhận dạng chưa chắc chắn.</x:v>
      </x:c>
      <x:c r="R41" s="47" t="str">
        <x:v>Đã đề xuất</x:v>
      </x:c>
      <x:c r="S41" s="46" t="str">
        <x:v>AI_PRECHECK_LARGE_V3_TURBO</x:v>
      </x:c>
      <x:c r="T41" s="69" t="n">
        <x:v>46227.388078668984</x:v>
      </x:c>
      <x:c r="U41" s="55" t="str">
        <x:v>Lật sách hoặc đi lại nhẹ. Đánh giá độ rõ khi có tiếng động nhẹ. Kết quả AI sơ bộ; cần người kiểm thử xác nhận.</x:v>
      </x:c>
      <x:c r="V41" s="56" t="str">
        <x:v>Nam 4 tuổi - Miền Bắc</x:v>
      </x:c>
      <x:c r="W41" s="56" t="str">
        <x:v>Nam</x:v>
      </x:c>
      <x:c r="X41" s="72" t="n">
        <x:v>4</x:v>
      </x:c>
      <x:c r="Y41" s="56" t="str">
        <x:v>Miền Bắc</x:v>
      </x:c>
      <x:c r="Z41" s="72" t="n">
        <x:v>20</x:v>
      </x:c>
      <x:c r="AA41" s="56" t="str">
        <x:v>Bé trai 4 tuổi giọng bắc\Bé trai 4 tuổi giọng bắc</x:v>
      </x:c>
      <x:c r="AB41" s="56" t="str">
        <x:v>M04-N-Q020.m4a</x:v>
      </x:c>
      <x:c r="AC41" s="56" t="str">
        <x:v>.m4a</x:v>
      </x:c>
      <x:c r="AD41" s="75" t="n">
        <x:v>22.9</x:v>
      </x:c>
      <x:c r="AE41" s="78" t="n">
        <x:v>46227.35605568287</x:v>
      </x:c>
      <x:c r="AF41" s="56" t="str">
        <x:v>Sẵn sàng</x:v>
      </x:c>
      <x:c r="AG41" s="57" t="str">
        <x:v>Tôi muốn chơi với bạn.</x:v>
      </x:c>
      <x:c r="AH41" s="81" t="n">
        <x:v>0.8471</x:v>
      </x:c>
      <x:c r="AI41" s="81" t="n">
        <x:v>0.8</x:v>
      </x:c>
      <x:c r="AJ41" s="84" t="n">
        <x:v>-0.4013</x:v>
      </x:c>
      <x:c r="AK41" s="84" t="n">
        <x:v>0</x:v>
      </x:c>
      <x:c r="AL41" s="87" t="n">
        <x:v>2.2386666666666666</x:v>
      </x:c>
      <x:c r="AM41" s="87" t="n">
        <x:v>-19.970298027592857</x:v>
      </x:c>
      <x:c r="AN41" s="87" t="n">
        <x:v>-5.044835042586989</x:v>
      </x:c>
      <x:c r="AO41" s="90" t="n">
        <x:v>0</x:v>
      </x:c>
      <x:c r="AP41" s="90" t="n">
        <x:v>0.19181804645622394</x:v>
      </x:c>
      <x:c r="AQ41" s="93" t="n">
        <x:v>48000</x:v>
      </x:c>
      <x:c r="AR41" s="93" t="n">
        <x:v>1</x:v>
      </x:c>
      <x:c r="AS41" s="59" t="b">
        <x:v>1</x:v>
      </x:c>
    </x:row>
    <x:row r="42" ht="32" customHeight="1">
      <x:c r="A42" s="42" t="str">
        <x:v>AIV0-F04-S-Q001</x:v>
      </x:c>
      <x:c r="B42" s="42" t="str">
        <x:v>AIV0-F04-SOUTH</x:v>
      </x:c>
      <x:c r="C42" s="42" t="str">
        <x:v>Q001</x:v>
      </x:c>
      <x:c r="D42" s="33" t="str">
        <x:v>Con tên là Bé Mây.</x:v>
      </x:c>
      <x:c r="E42" s="21" t="str"/>
      <x:c r="F42" s="21" t="str">
        <x:v>Câu 1.m4a</x:v>
      </x:c>
      <x:c r="G42" s="21" t="str">
        <x:v>Câu 1.m4a</x:v>
      </x:c>
      <x:c r="H42" s="21" t="str">
        <x:v>C:\Users\Windows\Documents\DOCUMENTS DỰ ÁN SPEAKING AI\ÂM THANH SPEAKING AI\Bé gái 4 tuổi giọng nam\Bé gái 4 tuổi giọng nam\Câu 1.m4a</x:v>
      </x:c>
      <x:c r="I42" s="46" t="str">
        <x:v>local_5c8a0cc084d2632c</x:v>
      </x:c>
      <x:c r="J42" s="46" t="str">
        <x:v>5c8a0cc084d2632caa0e88c25548bc73aeb5314c61bfb8b10710e58bb516d72c</x:v>
      </x:c>
      <x:c r="K42" s="66" t="n">
        <x:v>1</x:v>
      </x:c>
      <x:c r="L42" s="46" t="str">
        <x:v>Đã ghép cục bộ</x:v>
      </x:c>
      <x:c r="M42" s="69" t="n">
        <x:v>46227.3882618287</x:v>
      </x:c>
      <x:c r="N42" s="47" t="str">
        <x:v>Kiểm thử lại</x:v>
      </x:c>
      <x:c r="O42" s="36" t="str">
        <x:v>Khó nghe</x:v>
      </x:c>
      <x:c r="P42" s="36" t="str">
        <x:v>AI nghe: "Cùng là bí mây"; khớp 54%; độ tin cậy -0.39; 2.84s; RMS -28.4 dBFS</x:v>
      </x:c>
      <x:c r="Q42" s="36" t="str">
        <x:v>Nghe lại thủ công; xác nhận các từ AI nhận dạng chưa chắc chắn.</x:v>
      </x:c>
      <x:c r="R42" s="47" t="str">
        <x:v>Đã đề xuất</x:v>
      </x:c>
      <x:c r="S42" s="46" t="str">
        <x:v>AI_PRECHECK_LARGE_V3_TURBO</x:v>
      </x:c>
      <x:c r="T42" s="69" t="n">
        <x:v>46227.3882618287</x:v>
      </x:c>
      <x:c r="U42" s="55" t="str">
        <x:v>Nói theo câu mẫu. Đối chiếu nội dung và độ rõ. Kết quả AI sơ bộ; cần người kiểm thử xác nhận.</x:v>
      </x:c>
      <x:c r="V42" s="56" t="str">
        <x:v>Nữ 4 tuổi - Miền Nam</x:v>
      </x:c>
      <x:c r="W42" s="56" t="str">
        <x:v>Nữ</x:v>
      </x:c>
      <x:c r="X42" s="72" t="n">
        <x:v>4</x:v>
      </x:c>
      <x:c r="Y42" s="56" t="str">
        <x:v>Miền Nam</x:v>
      </x:c>
      <x:c r="Z42" s="72" t="n">
        <x:v>1</x:v>
      </x:c>
      <x:c r="AA42" s="56" t="str">
        <x:v>Bé gái 4 tuổi giọng nam\Bé gái 4 tuổi giọng nam</x:v>
      </x:c>
      <x:c r="AB42" s="56" t="str">
        <x:v>F04-S-Q001.m4a</x:v>
      </x:c>
      <x:c r="AC42" s="56" t="str">
        <x:v>.m4a</x:v>
      </x:c>
      <x:c r="AD42" s="75" t="n">
        <x:v>28.2</x:v>
      </x:c>
      <x:c r="AE42" s="78" t="n">
        <x:v>46227.35680555556</x:v>
      </x:c>
      <x:c r="AF42" s="56" t="str">
        <x:v>Sẵn sàng</x:v>
      </x:c>
      <x:c r="AG42" s="57" t="str">
        <x:v>Cùng là bí mây</x:v>
      </x:c>
      <x:c r="AH42" s="81" t="n">
        <x:v>0.5394</x:v>
      </x:c>
      <x:c r="AI42" s="81" t="n">
        <x:v>0.4</x:v>
      </x:c>
      <x:c r="AJ42" s="84" t="n">
        <x:v>-0.3893</x:v>
      </x:c>
      <x:c r="AK42" s="84" t="n">
        <x:v>0</x:v>
      </x:c>
      <x:c r="AL42" s="87" t="n">
        <x:v>2.836</x:v>
      </x:c>
      <x:c r="AM42" s="87" t="n">
        <x:v>-28.447277338760397</x:v>
      </x:c>
      <x:c r="AN42" s="87" t="n">
        <x:v>-9.81488415547022</x:v>
      </x:c>
      <x:c r="AO42" s="90" t="n">
        <x:v>0</x:v>
      </x:c>
      <x:c r="AP42" s="90" t="n">
        <x:v>0.5641234720263282</x:v>
      </x:c>
      <x:c r="AQ42" s="93" t="n">
        <x:v>48000</x:v>
      </x:c>
      <x:c r="AR42" s="93" t="n">
        <x:v>1</x:v>
      </x:c>
      <x:c r="AS42" s="59" t="b">
        <x:v>1</x:v>
      </x:c>
    </x:row>
    <x:row r="43" ht="32" customHeight="1">
      <x:c r="A43" s="42" t="str">
        <x:v>AIV0-F04-S-Q002</x:v>
      </x:c>
      <x:c r="B43" s="42" t="str">
        <x:v>AIV0-F04-SOUTH</x:v>
      </x:c>
      <x:c r="C43" s="42" t="str">
        <x:v>Q002</x:v>
      </x:c>
      <x:c r="D43" s="33" t="str">
        <x:v>Con 4 tuổi.</x:v>
      </x:c>
      <x:c r="E43" s="21" t="str"/>
      <x:c r="F43" s="21" t="str">
        <x:v>Câu 2.m4a</x:v>
      </x:c>
      <x:c r="G43" s="21" t="str">
        <x:v>Câu 2.m4a</x:v>
      </x:c>
      <x:c r="H43" s="21" t="str">
        <x:v>C:\Users\Windows\Documents\DOCUMENTS DỰ ÁN SPEAKING AI\ÂM THANH SPEAKING AI\Bé gái 4 tuổi giọng nam\Bé gái 4 tuổi giọng nam\Câu 2.m4a</x:v>
      </x:c>
      <x:c r="I43" s="46" t="str">
        <x:v>local_854b2d8cd24d94fc</x:v>
      </x:c>
      <x:c r="J43" s="46" t="str">
        <x:v>854b2d8cd24d94fc0f59a08569fd186d1b8401934abb138093a6f24ee5de1e6f</x:v>
      </x:c>
      <x:c r="K43" s="66" t="n">
        <x:v>1</x:v>
      </x:c>
      <x:c r="L43" s="46" t="str">
        <x:v>Đã ghép cục bộ</x:v>
      </x:c>
      <x:c r="M43" s="69" t="n">
        <x:v>46227.38844821759</x:v>
      </x:c>
      <x:c r="N43" s="47" t="str">
        <x:v>Đạt</x:v>
      </x:c>
      <x:c r="O43" s="36" t="str"/>
      <x:c r="P43" s="36" t="str">
        <x:v>AI nghe: "Còn 4 tuổi"; khớp 100%; độ tin cậy -0.46; 2.24s; RMS -32.3 dBFS</x:v>
      </x:c>
      <x:c r="Q43" s="36" t="str">
        <x:v>AI nhận dạng khớp câu mẫu; người kiểm thử nghe xác nhận.</x:v>
      </x:c>
      <x:c r="R43" s="47" t="str">
        <x:v>Không cần sửa</x:v>
      </x:c>
      <x:c r="S43" s="46" t="str">
        <x:v>AI_PRECHECK_LARGE_V3_TURBO</x:v>
      </x:c>
      <x:c r="T43" s="69" t="n">
        <x:v>46227.38844821759</x:v>
      </x:c>
      <x:c r="U43" s="55" t="str">
        <x:v>Nói theo câu mẫu. Đối chiếu nội dung và độ rõ. Kết quả AI sơ bộ; cần người kiểm thử xác nhận.</x:v>
      </x:c>
      <x:c r="V43" s="56" t="str">
        <x:v>Nữ 4 tuổi - Miền Nam</x:v>
      </x:c>
      <x:c r="W43" s="56" t="str">
        <x:v>Nữ</x:v>
      </x:c>
      <x:c r="X43" s="72" t="n">
        <x:v>4</x:v>
      </x:c>
      <x:c r="Y43" s="56" t="str">
        <x:v>Miền Nam</x:v>
      </x:c>
      <x:c r="Z43" s="72" t="n">
        <x:v>2</x:v>
      </x:c>
      <x:c r="AA43" s="56" t="str">
        <x:v>Bé gái 4 tuổi giọng nam\Bé gái 4 tuổi giọng nam</x:v>
      </x:c>
      <x:c r="AB43" s="56" t="str">
        <x:v>F04-S-Q002.m4a</x:v>
      </x:c>
      <x:c r="AC43" s="56" t="str">
        <x:v>.m4a</x:v>
      </x:c>
      <x:c r="AD43" s="75" t="n">
        <x:v>21.8</x:v>
      </x:c>
      <x:c r="AE43" s="78" t="n">
        <x:v>46227.35681491898</x:v>
      </x:c>
      <x:c r="AF43" s="56" t="str">
        <x:v>Sẵn sàng</x:v>
      </x:c>
      <x:c r="AG43" s="57" t="str">
        <x:v>Còn 4 tuổi</x:v>
      </x:c>
      <x:c r="AH43" s="81" t="n">
        <x:v>1</x:v>
      </x:c>
      <x:c r="AI43" s="81" t="n">
        <x:v>1</x:v>
      </x:c>
      <x:c r="AJ43" s="84" t="n">
        <x:v>-0.4619</x:v>
      </x:c>
      <x:c r="AK43" s="84" t="n">
        <x:v>0</x:v>
      </x:c>
      <x:c r="AL43" s="87" t="n">
        <x:v>2.2386666666666666</x:v>
      </x:c>
      <x:c r="AM43" s="87" t="n">
        <x:v>-32.280327840930134</x:v>
      </x:c>
      <x:c r="AN43" s="87" t="n">
        <x:v>-18.716008038353245</x:v>
      </x:c>
      <x:c r="AO43" s="90" t="n">
        <x:v>0</x:v>
      </x:c>
      <x:c r="AP43" s="90" t="n">
        <x:v>0.543906343061346</x:v>
      </x:c>
      <x:c r="AQ43" s="93" t="n">
        <x:v>48000</x:v>
      </x:c>
      <x:c r="AR43" s="93" t="n">
        <x:v>1</x:v>
      </x:c>
      <x:c r="AS43" s="59" t="b">
        <x:v>1</x:v>
      </x:c>
    </x:row>
    <x:row r="44" ht="32" customHeight="1">
      <x:c r="A44" s="42" t="str">
        <x:v>AIV0-F04-S-Q003</x:v>
      </x:c>
      <x:c r="B44" s="42" t="str">
        <x:v>AIV0-F04-SOUTH</x:v>
      </x:c>
      <x:c r="C44" s="42" t="str">
        <x:v>Q003</x:v>
      </x:c>
      <x:c r="D44" s="33" t="str">
        <x:v>Hôm nay con rất vui.</x:v>
      </x:c>
      <x:c r="E44" s="21" t="str"/>
      <x:c r="F44" s="21" t="str">
        <x:v>Câu 3.m4a</x:v>
      </x:c>
      <x:c r="G44" s="21" t="str">
        <x:v>Câu 3.m4a</x:v>
      </x:c>
      <x:c r="H44" s="21" t="str">
        <x:v>C:\Users\Windows\Documents\DOCUMENTS DỰ ÁN SPEAKING AI\ÂM THANH SPEAKING AI\Bé gái 4 tuổi giọng nam\Bé gái 4 tuổi giọng nam\Câu 3.m4a</x:v>
      </x:c>
      <x:c r="I44" s="46" t="str">
        <x:v>local_b8d5174aabfc1d42</x:v>
      </x:c>
      <x:c r="J44" s="46" t="str">
        <x:v>b8d5174aabfc1d42c19d7bcc68e146e4753b92f1a62924f0629ac8ceac83e66c</x:v>
      </x:c>
      <x:c r="K44" s="66" t="n">
        <x:v>1</x:v>
      </x:c>
      <x:c r="L44" s="46" t="str">
        <x:v>Đã ghép cục bộ</x:v>
      </x:c>
      <x:c r="M44" s="69" t="n">
        <x:v>46227.38859041667</x:v>
      </x:c>
      <x:c r="N44" s="47" t="str">
        <x:v>Không đạt</x:v>
      </x:c>
      <x:c r="O44" s="36" t="str">
        <x:v>Nghe không rõ; Nội dung không đúng câu mẫu</x:v>
      </x:c>
      <x:c r="P44" s="36" t="str">
        <x:v>AI nghe: "Hãy subscribe cho kênh lalaschool Để không bỏ lỡ những video hấp dẫn"; khớp 11%; độ tin cậy -0.27; 2.75s; RMS -32.7 dBFS</x:v>
      </x:c>
      <x:c r="Q44" s="36" t="str">
        <x:v>Thu lại đúng câu mẫu với tốc độ và âm lượng rõ hơn.</x:v>
      </x:c>
      <x:c r="R44" s="47" t="str">
        <x:v>Đã đề xuất</x:v>
      </x:c>
      <x:c r="S44" s="46" t="str">
        <x:v>AI_PRECHECK_LARGE_V3_TURBO</x:v>
      </x:c>
      <x:c r="T44" s="69" t="n">
        <x:v>46227.38859041667</x:v>
      </x:c>
      <x:c r="U44" s="55" t="str">
        <x:v>Nói theo câu mẫu. Đối chiếu nội dung và độ rõ. Kết quả AI sơ bộ; cần người kiểm thử xác nhận.</x:v>
      </x:c>
      <x:c r="V44" s="56" t="str">
        <x:v>Nữ 4 tuổi - Miền Nam</x:v>
      </x:c>
      <x:c r="W44" s="56" t="str">
        <x:v>Nữ</x:v>
      </x:c>
      <x:c r="X44" s="72" t="n">
        <x:v>4</x:v>
      </x:c>
      <x:c r="Y44" s="56" t="str">
        <x:v>Miền Nam</x:v>
      </x:c>
      <x:c r="Z44" s="72" t="n">
        <x:v>3</x:v>
      </x:c>
      <x:c r="AA44" s="56" t="str">
        <x:v>Bé gái 4 tuổi giọng nam\Bé gái 4 tuổi giọng nam</x:v>
      </x:c>
      <x:c r="AB44" s="56" t="str">
        <x:v>F04-S-Q003.m4a</x:v>
      </x:c>
      <x:c r="AC44" s="56" t="str">
        <x:v>.m4a</x:v>
      </x:c>
      <x:c r="AD44" s="75" t="n">
        <x:v>26.3</x:v>
      </x:c>
      <x:c r="AE44" s="78" t="n">
        <x:v>46227.356823043985</x:v>
      </x:c>
      <x:c r="AF44" s="56" t="str">
        <x:v>Sẵn sàng</x:v>
      </x:c>
      <x:c r="AG44" s="57" t="str">
        <x:v>Hãy subscribe cho kênh lalaschool Để không bỏ lỡ những video hấp dẫn</x:v>
      </x:c>
      <x:c r="AH44" s="81" t="n">
        <x:v>0.1138</x:v>
      </x:c>
      <x:c r="AI44" s="81" t="n">
        <x:v>0</x:v>
      </x:c>
      <x:c r="AJ44" s="84" t="n">
        <x:v>-0.2669</x:v>
      </x:c>
      <x:c r="AK44" s="84" t="n">
        <x:v>0</x:v>
      </x:c>
      <x:c r="AL44" s="87" t="n">
        <x:v>2.7506666666666666</x:v>
      </x:c>
      <x:c r="AM44" s="87" t="n">
        <x:v>-32.7484967582919</x:v>
      </x:c>
      <x:c r="AN44" s="87" t="n">
        <x:v>-18.19188406806385</x:v>
      </x:c>
      <x:c r="AO44" s="90" t="n">
        <x:v>0</x:v>
      </x:c>
      <x:c r="AP44" s="90" t="n">
        <x:v>0.5642874454677654</x:v>
      </x:c>
      <x:c r="AQ44" s="93" t="n">
        <x:v>48000</x:v>
      </x:c>
      <x:c r="AR44" s="93" t="n">
        <x:v>1</x:v>
      </x:c>
      <x:c r="AS44" s="59" t="b">
        <x:v>1</x:v>
      </x:c>
    </x:row>
    <x:row r="45" ht="32" customHeight="1">
      <x:c r="A45" s="42" t="str">
        <x:v>AIV0-F04-S-Q004</x:v>
      </x:c>
      <x:c r="B45" s="42" t="str">
        <x:v>AIV0-F04-SOUTH</x:v>
      </x:c>
      <x:c r="C45" s="42" t="str">
        <x:v>Q004</x:v>
      </x:c>
      <x:c r="D45" s="33" t="str">
        <x:v>Con muốn uống nước.</x:v>
      </x:c>
      <x:c r="E45" s="21" t="str"/>
      <x:c r="F45" s="21" t="str">
        <x:v>Câu 4.m4a</x:v>
      </x:c>
      <x:c r="G45" s="21" t="str">
        <x:v>Câu 4.m4a</x:v>
      </x:c>
      <x:c r="H45" s="21" t="str">
        <x:v>C:\Users\Windows\Documents\DOCUMENTS DỰ ÁN SPEAKING AI\ÂM THANH SPEAKING AI\Bé gái 4 tuổi giọng nam\Bé gái 4 tuổi giọng nam\Câu 4.m4a</x:v>
      </x:c>
      <x:c r="I45" s="46" t="str">
        <x:v>local_067b79364e0378c5</x:v>
      </x:c>
      <x:c r="J45" s="46" t="str">
        <x:v>067b79364e0378c5f6df38d73a20306b16a4e6612f321d35ec1264710d3c3969</x:v>
      </x:c>
      <x:c r="K45" s="66" t="n">
        <x:v>1</x:v>
      </x:c>
      <x:c r="L45" s="46" t="str">
        <x:v>Đã ghép cục bộ</x:v>
      </x:c>
      <x:c r="M45" s="69" t="n">
        <x:v>46227.388713148146</x:v>
      </x:c>
      <x:c r="N45" s="47" t="str">
        <x:v>Không đạt</x:v>
      </x:c>
      <x:c r="O45" s="36" t="str">
        <x:v>Nghe không rõ; Nội dung không đúng câu mẫu</x:v>
      </x:c>
      <x:c r="P45" s="36" t="str">
        <x:v>AI nghe: "Hãy subscribe cho kênh La La School Để không bỏ lỡ những video hấp dẫn"; khớp 13%; độ tin cậy -0.30; 3.09s; RMS -26.2 dBFS</x:v>
      </x:c>
      <x:c r="Q45" s="36" t="str">
        <x:v>Thu lại đúng câu mẫu với tốc độ và âm lượng rõ hơn.</x:v>
      </x:c>
      <x:c r="R45" s="47" t="str">
        <x:v>Đã đề xuất</x:v>
      </x:c>
      <x:c r="S45" s="46" t="str">
        <x:v>AI_PRECHECK_LARGE_V3_TURBO</x:v>
      </x:c>
      <x:c r="T45" s="69" t="n">
        <x:v>46227.388713148146</x:v>
      </x:c>
      <x:c r="U45" s="55" t="str">
        <x:v>Nói theo câu mẫu. Đối chiếu nội dung và độ rõ. Kết quả AI sơ bộ; cần người kiểm thử xác nhận.</x:v>
      </x:c>
      <x:c r="V45" s="56" t="str">
        <x:v>Nữ 4 tuổi - Miền Nam</x:v>
      </x:c>
      <x:c r="W45" s="56" t="str">
        <x:v>Nữ</x:v>
      </x:c>
      <x:c r="X45" s="72" t="n">
        <x:v>4</x:v>
      </x:c>
      <x:c r="Y45" s="56" t="str">
        <x:v>Miền Nam</x:v>
      </x:c>
      <x:c r="Z45" s="72" t="n">
        <x:v>4</x:v>
      </x:c>
      <x:c r="AA45" s="56" t="str">
        <x:v>Bé gái 4 tuổi giọng nam\Bé gái 4 tuổi giọng nam</x:v>
      </x:c>
      <x:c r="AB45" s="56" t="str">
        <x:v>F04-S-Q004.m4a</x:v>
      </x:c>
      <x:c r="AC45" s="56" t="str">
        <x:v>.m4a</x:v>
      </x:c>
      <x:c r="AD45" s="75" t="n">
        <x:v>29.7</x:v>
      </x:c>
      <x:c r="AE45" s="78" t="n">
        <x:v>46227.35682988426</x:v>
      </x:c>
      <x:c r="AF45" s="56" t="str">
        <x:v>Sẵn sàng</x:v>
      </x:c>
      <x:c r="AG45" s="57" t="str">
        <x:v>Hãy subscribe cho kênh La La School Để không bỏ lỡ những video hấp dẫn</x:v>
      </x:c>
      <x:c r="AH45" s="81" t="n">
        <x:v>0.133</x:v>
      </x:c>
      <x:c r="AI45" s="81" t="n">
        <x:v>0</x:v>
      </x:c>
      <x:c r="AJ45" s="84" t="n">
        <x:v>-0.2971</x:v>
      </x:c>
      <x:c r="AK45" s="84" t="n">
        <x:v>0</x:v>
      </x:c>
      <x:c r="AL45" s="87" t="n">
        <x:v>3.092</x:v>
      </x:c>
      <x:c r="AM45" s="87" t="n">
        <x:v>-26.165726272845355</x:v>
      </x:c>
      <x:c r="AN45" s="87" t="n">
        <x:v>-11.833702866644014</x:v>
      </x:c>
      <x:c r="AO45" s="90" t="n">
        <x:v>0</x:v>
      </x:c>
      <x:c r="AP45" s="90" t="n">
        <x:v>0.4644512721000431</x:v>
      </x:c>
      <x:c r="AQ45" s="93" t="n">
        <x:v>48000</x:v>
      </x:c>
      <x:c r="AR45" s="93" t="n">
        <x:v>1</x:v>
      </x:c>
      <x:c r="AS45" s="59" t="b">
        <x:v>1</x:v>
      </x:c>
    </x:row>
    <x:row r="46" ht="32" customHeight="1">
      <x:c r="A46" s="42" t="str">
        <x:v>AIV0-F04-S-Q005</x:v>
      </x:c>
      <x:c r="B46" s="42" t="str">
        <x:v>AIV0-F04-SOUTH</x:v>
      </x:c>
      <x:c r="C46" s="42" t="str">
        <x:v>Q005</x:v>
      </x:c>
      <x:c r="D46" s="33" t="str">
        <x:v>Con thích màu đỏ.</x:v>
      </x:c>
      <x:c r="E46" s="21" t="str"/>
      <x:c r="F46" s="21" t="str">
        <x:v>Câu 5.m4a</x:v>
      </x:c>
      <x:c r="G46" s="21" t="str">
        <x:v>Câu 5.m4a</x:v>
      </x:c>
      <x:c r="H46" s="21" t="str">
        <x:v>C:\Users\Windows\Documents\DOCUMENTS DỰ ÁN SPEAKING AI\ÂM THANH SPEAKING AI\Bé gái 4 tuổi giọng nam\Bé gái 4 tuổi giọng nam\Câu 5.m4a</x:v>
      </x:c>
      <x:c r="I46" s="46" t="str">
        <x:v>local_6f4c9b9646a445df</x:v>
      </x:c>
      <x:c r="J46" s="46" t="str">
        <x:v>6f4c9b9646a445df2433d9fa4f78d1316de94187e00ef5fe300c17b8544fd722</x:v>
      </x:c>
      <x:c r="K46" s="66" t="n">
        <x:v>1</x:v>
      </x:c>
      <x:c r="L46" s="46" t="str">
        <x:v>Đã ghép cục bộ</x:v>
      </x:c>
      <x:c r="M46" s="69" t="n">
        <x:v>46227.388833032404</x:v>
      </x:c>
      <x:c r="N46" s="47" t="str">
        <x:v>Đạt</x:v>
      </x:c>
      <x:c r="O46" s="36" t="str"/>
      <x:c r="P46" s="36" t="str">
        <x:v>AI nghe: "Con thích màu đỏ"; khớp 100%; độ tin cậy -0.46; 4.29s; RMS -28.2 dBFS</x:v>
      </x:c>
      <x:c r="Q46" s="36" t="str">
        <x:v>AI nhận dạng khớp câu mẫu; người kiểm thử nghe xác nhận.</x:v>
      </x:c>
      <x:c r="R46" s="47" t="str">
        <x:v>Không cần sửa</x:v>
      </x:c>
      <x:c r="S46" s="46" t="str">
        <x:v>AI_PRECHECK_LARGE_V3_TURBO</x:v>
      </x:c>
      <x:c r="T46" s="69" t="n">
        <x:v>46227.388833032404</x:v>
      </x:c>
      <x:c r="U46" s="55" t="str">
        <x:v>Nói theo câu mẫu. Đối chiếu nội dung và độ rõ. Kết quả AI sơ bộ; cần người kiểm thử xác nhận.</x:v>
      </x:c>
      <x:c r="V46" s="56" t="str">
        <x:v>Nữ 4 tuổi - Miền Nam</x:v>
      </x:c>
      <x:c r="W46" s="56" t="str">
        <x:v>Nữ</x:v>
      </x:c>
      <x:c r="X46" s="72" t="n">
        <x:v>4</x:v>
      </x:c>
      <x:c r="Y46" s="56" t="str">
        <x:v>Miền Nam</x:v>
      </x:c>
      <x:c r="Z46" s="72" t="n">
        <x:v>5</x:v>
      </x:c>
      <x:c r="AA46" s="56" t="str">
        <x:v>Bé gái 4 tuổi giọng nam\Bé gái 4 tuổi giọng nam</x:v>
      </x:c>
      <x:c r="AB46" s="56" t="str">
        <x:v>F04-S-Q005.m4a</x:v>
      </x:c>
      <x:c r="AC46" s="56" t="str">
        <x:v>.m4a</x:v>
      </x:c>
      <x:c r="AD46" s="75" t="n">
        <x:v>40</x:v>
      </x:c>
      <x:c r="AE46" s="78" t="n">
        <x:v>46227.3568619213</x:v>
      </x:c>
      <x:c r="AF46" s="56" t="str">
        <x:v>Sẵn sàng</x:v>
      </x:c>
      <x:c r="AG46" s="57" t="str">
        <x:v>Con thích màu đỏ</x:v>
      </x:c>
      <x:c r="AH46" s="81" t="n">
        <x:v>1</x:v>
      </x:c>
      <x:c r="AI46" s="81" t="n">
        <x:v>1</x:v>
      </x:c>
      <x:c r="AJ46" s="84" t="n">
        <x:v>-0.4617</x:v>
      </x:c>
      <x:c r="AK46" s="84" t="n">
        <x:v>0</x:v>
      </x:c>
      <x:c r="AL46" s="87" t="n">
        <x:v>4.286666666666667</x:v>
      </x:c>
      <x:c r="AM46" s="87" t="n">
        <x:v>-28.175063667305658</x:v>
      </x:c>
      <x:c r="AN46" s="87" t="n">
        <x:v>-7.934276032615973</x:v>
      </x:c>
      <x:c r="AO46" s="90" t="n">
        <x:v>0</x:v>
      </x:c>
      <x:c r="AP46" s="90" t="n">
        <x:v>0.6249465396578539</x:v>
      </x:c>
      <x:c r="AQ46" s="93" t="n">
        <x:v>48000</x:v>
      </x:c>
      <x:c r="AR46" s="93" t="n">
        <x:v>1</x:v>
      </x:c>
      <x:c r="AS46" s="59" t="b">
        <x:v>1</x:v>
      </x:c>
    </x:row>
    <x:row r="47" ht="32" customHeight="1">
      <x:c r="A47" s="42" t="str">
        <x:v>AIV0-F04-S-Q006</x:v>
      </x:c>
      <x:c r="B47" s="42" t="str">
        <x:v>AIV0-F04-SOUTH</x:v>
      </x:c>
      <x:c r="C47" s="42" t="str">
        <x:v>Q006</x:v>
      </x:c>
      <x:c r="D47" s="33" t="str">
        <x:v>Con thích ăn cơm.</x:v>
      </x:c>
      <x:c r="E47" s="21" t="str"/>
      <x:c r="F47" s="21" t="str">
        <x:v>Câu 6.m4a</x:v>
      </x:c>
      <x:c r="G47" s="21" t="str">
        <x:v>Câu 6.m4a</x:v>
      </x:c>
      <x:c r="H47" s="21" t="str">
        <x:v>C:\Users\Windows\Documents\DOCUMENTS DỰ ÁN SPEAKING AI\ÂM THANH SPEAKING AI\Bé gái 4 tuổi giọng nam\Bé gái 4 tuổi giọng nam\Câu 6.m4a</x:v>
      </x:c>
      <x:c r="I47" s="46" t="str">
        <x:v>local_9d2f9aa5c64359fd</x:v>
      </x:c>
      <x:c r="J47" s="46" t="str">
        <x:v>9d2f9aa5c64359fd575eba1528d044433f70aac3cab839c3d97d45ec844a6620</x:v>
      </x:c>
      <x:c r="K47" s="66" t="n">
        <x:v>1</x:v>
      </x:c>
      <x:c r="L47" s="46" t="str">
        <x:v>Đã ghép cục bộ</x:v>
      </x:c>
      <x:c r="M47" s="69" t="n">
        <x:v>46227.38896809028</x:v>
      </x:c>
      <x:c r="N47" s="47" t="str">
        <x:v>Đạt</x:v>
      </x:c>
      <x:c r="O47" s="36" t="str"/>
      <x:c r="P47" s="36" t="str">
        <x:v>AI nghe: "Con thích ăn cơm"; khớp 100%; độ tin cậy -0.45; 3.60s; RMS -30.3 dBFS</x:v>
      </x:c>
      <x:c r="Q47" s="36" t="str">
        <x:v>AI nhận dạng khớp câu mẫu; người kiểm thử nghe xác nhận.</x:v>
      </x:c>
      <x:c r="R47" s="47" t="str">
        <x:v>Không cần sửa</x:v>
      </x:c>
      <x:c r="S47" s="46" t="str">
        <x:v>AI_PRECHECK_LARGE_V3_TURBO</x:v>
      </x:c>
      <x:c r="T47" s="69" t="n">
        <x:v>46227.38896809028</x:v>
      </x:c>
      <x:c r="U47" s="55" t="str">
        <x:v>Nói theo câu mẫu. Đối chiếu nội dung và độ rõ. Kết quả AI sơ bộ; cần người kiểm thử xác nhận.</x:v>
      </x:c>
      <x:c r="V47" s="56" t="str">
        <x:v>Nữ 4 tuổi - Miền Nam</x:v>
      </x:c>
      <x:c r="W47" s="56" t="str">
        <x:v>Nữ</x:v>
      </x:c>
      <x:c r="X47" s="72" t="n">
        <x:v>4</x:v>
      </x:c>
      <x:c r="Y47" s="56" t="str">
        <x:v>Miền Nam</x:v>
      </x:c>
      <x:c r="Z47" s="72" t="n">
        <x:v>6</x:v>
      </x:c>
      <x:c r="AA47" s="56" t="str">
        <x:v>Bé gái 4 tuổi giọng nam\Bé gái 4 tuổi giọng nam</x:v>
      </x:c>
      <x:c r="AB47" s="56" t="str">
        <x:v>F04-S-Q006.m4a</x:v>
      </x:c>
      <x:c r="AC47" s="56" t="str">
        <x:v>.m4a</x:v>
      </x:c>
      <x:c r="AD47" s="75" t="n">
        <x:v>34.3</x:v>
      </x:c>
      <x:c r="AE47" s="78" t="n">
        <x:v>46227.35686979166</x:v>
      </x:c>
      <x:c r="AF47" s="56" t="str">
        <x:v>Sẵn sàng</x:v>
      </x:c>
      <x:c r="AG47" s="57" t="str">
        <x:v>Con thích ăn cơm</x:v>
      </x:c>
      <x:c r="AH47" s="81" t="n">
        <x:v>1</x:v>
      </x:c>
      <x:c r="AI47" s="81" t="n">
        <x:v>1</x:v>
      </x:c>
      <x:c r="AJ47" s="84" t="n">
        <x:v>-0.4496</x:v>
      </x:c>
      <x:c r="AK47" s="84" t="n">
        <x:v>0</x:v>
      </x:c>
      <x:c r="AL47" s="87" t="n">
        <x:v>3.604</x:v>
      </x:c>
      <x:c r="AM47" s="87" t="n">
        <x:v>-30.323411499176952</x:v>
      </x:c>
      <x:c r="AN47" s="87" t="n">
        <x:v>-12.839810199170877</x:v>
      </x:c>
      <x:c r="AO47" s="90" t="n">
        <x:v>0</x:v>
      </x:c>
      <x:c r="AP47" s="90" t="n">
        <x:v>0.6813609877913429</x:v>
      </x:c>
      <x:c r="AQ47" s="93" t="n">
        <x:v>48000</x:v>
      </x:c>
      <x:c r="AR47" s="93" t="n">
        <x:v>1</x:v>
      </x:c>
      <x:c r="AS47" s="59" t="b">
        <x:v>1</x:v>
      </x:c>
    </x:row>
    <x:row r="48" ht="32" customHeight="1">
      <x:c r="A48" s="42" t="str">
        <x:v>AIV0-F04-S-Q007</x:v>
      </x:c>
      <x:c r="B48" s="42" t="str">
        <x:v>AIV0-F04-SOUTH</x:v>
      </x:c>
      <x:c r="C48" s="42" t="str">
        <x:v>Q007</x:v>
      </x:c>
      <x:c r="D48" s="33" t="str">
        <x:v>Con muốn chơi với bạn.</x:v>
      </x:c>
      <x:c r="E48" s="21" t="str"/>
      <x:c r="F48" s="21" t="str">
        <x:v>Câu 7.m4a</x:v>
      </x:c>
      <x:c r="G48" s="21" t="str">
        <x:v>Câu 7.m4a</x:v>
      </x:c>
      <x:c r="H48" s="21" t="str">
        <x:v>C:\Users\Windows\Documents\DOCUMENTS DỰ ÁN SPEAKING AI\ÂM THANH SPEAKING AI\Bé gái 4 tuổi giọng nam\Bé gái 4 tuổi giọng nam\Câu 7.m4a</x:v>
      </x:c>
      <x:c r="I48" s="46" t="str">
        <x:v>local_9cf7ebd0370c8222</x:v>
      </x:c>
      <x:c r="J48" s="46" t="str">
        <x:v>9cf7ebd0370c8222ac0652fe4557d8df74c79e9545309b5f3c4b4fc716f77ba7</x:v>
      </x:c>
      <x:c r="K48" s="66" t="n">
        <x:v>1</x:v>
      </x:c>
      <x:c r="L48" s="46" t="str">
        <x:v>Đã ghép cục bộ</x:v>
      </x:c>
      <x:c r="M48" s="69" t="n">
        <x:v>46227.38908648148</x:v>
      </x:c>
      <x:c r="N48" s="47" t="str">
        <x:v>Kiểm thử lại</x:v>
      </x:c>
      <x:c r="O48" s="36" t="str">
        <x:v>Khó nghe</x:v>
      </x:c>
      <x:c r="P48" s="36" t="str">
        <x:v>AI nghe: "Con muốn chơi với mẹ"; khớp 84%; độ tin cậy -0.55; 4.88s; RMS -29.6 dBFS</x:v>
      </x:c>
      <x:c r="Q48" s="36" t="str">
        <x:v>Nghe lại thủ công; xác nhận các từ AI nhận dạng chưa chắc chắn.</x:v>
      </x:c>
      <x:c r="R48" s="47" t="str">
        <x:v>Đã đề xuất</x:v>
      </x:c>
      <x:c r="S48" s="46" t="str">
        <x:v>AI_PRECHECK_LARGE_V3_TURBO</x:v>
      </x:c>
      <x:c r="T48" s="69" t="n">
        <x:v>46227.38908648148</x:v>
      </x:c>
      <x:c r="U48" s="55" t="str">
        <x:v>Nói theo câu mẫu. Đối chiếu nội dung và độ rõ. Kết quả AI sơ bộ; cần người kiểm thử xác nhận.</x:v>
      </x:c>
      <x:c r="V48" s="56" t="str">
        <x:v>Nữ 4 tuổi - Miền Nam</x:v>
      </x:c>
      <x:c r="W48" s="56" t="str">
        <x:v>Nữ</x:v>
      </x:c>
      <x:c r="X48" s="72" t="n">
        <x:v>4</x:v>
      </x:c>
      <x:c r="Y48" s="56" t="str">
        <x:v>Miền Nam</x:v>
      </x:c>
      <x:c r="Z48" s="72" t="n">
        <x:v>7</x:v>
      </x:c>
      <x:c r="AA48" s="56" t="str">
        <x:v>Bé gái 4 tuổi giọng nam\Bé gái 4 tuổi giọng nam</x:v>
      </x:c>
      <x:c r="AB48" s="56" t="str">
        <x:v>F04-S-Q007.m4a</x:v>
      </x:c>
      <x:c r="AC48" s="56" t="str">
        <x:v>.m4a</x:v>
      </x:c>
      <x:c r="AD48" s="75" t="n">
        <x:v>45.5</x:v>
      </x:c>
      <x:c r="AE48" s="78" t="n">
        <x:v>46227.35687630787</x:v>
      </x:c>
      <x:c r="AF48" s="56" t="str">
        <x:v>Sẵn sàng</x:v>
      </x:c>
      <x:c r="AG48" s="57" t="str">
        <x:v>Con muốn chơi với mẹ</x:v>
      </x:c>
      <x:c r="AH48" s="81" t="n">
        <x:v>0.8351</x:v>
      </x:c>
      <x:c r="AI48" s="81" t="n">
        <x:v>0.8</x:v>
      </x:c>
      <x:c r="AJ48" s="84" t="n">
        <x:v>-0.5535</x:v>
      </x:c>
      <x:c r="AK48" s="84" t="n">
        <x:v>0</x:v>
      </x:c>
      <x:c r="AL48" s="87" t="n">
        <x:v>4.884</x:v>
      </x:c>
      <x:c r="AM48" s="87" t="n">
        <x:v>-29.55925484264167</x:v>
      </x:c>
      <x:c r="AN48" s="87" t="n">
        <x:v>-12.025398916161997</x:v>
      </x:c>
      <x:c r="AO48" s="90" t="n">
        <x:v>0</x:v>
      </x:c>
      <x:c r="AP48" s="90" t="n">
        <x:v>0.6113798457548457</x:v>
      </x:c>
      <x:c r="AQ48" s="93" t="n">
        <x:v>48000</x:v>
      </x:c>
      <x:c r="AR48" s="93" t="n">
        <x:v>1</x:v>
      </x:c>
      <x:c r="AS48" s="59" t="b">
        <x:v>1</x:v>
      </x:c>
    </x:row>
    <x:row r="49" ht="32" customHeight="1">
      <x:c r="A49" s="42" t="str">
        <x:v>AIV0-F04-S-Q008</x:v>
      </x:c>
      <x:c r="B49" s="42" t="str">
        <x:v>AIV0-F04-SOUTH</x:v>
      </x:c>
      <x:c r="C49" s="42" t="str">
        <x:v>Q008</x:v>
      </x:c>
      <x:c r="D49" s="33" t="str">
        <x:v>Con không hiểu.</x:v>
      </x:c>
      <x:c r="E49" s="21" t="str"/>
      <x:c r="F49" s="21" t="str">
        <x:v>Câu 8.m4a</x:v>
      </x:c>
      <x:c r="G49" s="21" t="str">
        <x:v>Câu 8.m4a</x:v>
      </x:c>
      <x:c r="H49" s="21" t="str">
        <x:v>C:\Users\Windows\Documents\DOCUMENTS DỰ ÁN SPEAKING AI\ÂM THANH SPEAKING AI\Bé gái 4 tuổi giọng nam\Bé gái 4 tuổi giọng nam\Câu 8.m4a</x:v>
      </x:c>
      <x:c r="I49" s="46" t="str">
        <x:v>local_3d87683d709705a5</x:v>
      </x:c>
      <x:c r="J49" s="46" t="str">
        <x:v>3d87683d709705a5326c65b7c13bc1b4c27d2ebab6dd7233f329afd067d9e375</x:v>
      </x:c>
      <x:c r="K49" s="66" t="n">
        <x:v>1</x:v>
      </x:c>
      <x:c r="L49" s="46" t="str">
        <x:v>Đã ghép cục bộ</x:v>
      </x:c>
      <x:c r="M49" s="69" t="n">
        <x:v>46227.38920857639</x:v>
      </x:c>
      <x:c r="N49" s="47" t="str">
        <x:v>Đạt</x:v>
      </x:c>
      <x:c r="O49" s="36" t="str"/>
      <x:c r="P49" s="36" t="str">
        <x:v>AI nghe: "Con không hiểu"; khớp 100%; độ tin cậy -0.36; 2.24s; RMS -31.3 dBFS</x:v>
      </x:c>
      <x:c r="Q49" s="36" t="str">
        <x:v>AI nhận dạng khớp câu mẫu; người kiểm thử nghe xác nhận.</x:v>
      </x:c>
      <x:c r="R49" s="47" t="str">
        <x:v>Không cần sửa</x:v>
      </x:c>
      <x:c r="S49" s="46" t="str">
        <x:v>AI_PRECHECK_LARGE_V3_TURBO</x:v>
      </x:c>
      <x:c r="T49" s="69" t="n">
        <x:v>46227.38920857639</x:v>
      </x:c>
      <x:c r="U49" s="55" t="str">
        <x:v>Nói theo câu mẫu. Đối chiếu nội dung và độ rõ. Kết quả AI sơ bộ; cần người kiểm thử xác nhận.</x:v>
      </x:c>
      <x:c r="V49" s="56" t="str">
        <x:v>Nữ 4 tuổi - Miền Nam</x:v>
      </x:c>
      <x:c r="W49" s="56" t="str">
        <x:v>Nữ</x:v>
      </x:c>
      <x:c r="X49" s="72" t="n">
        <x:v>4</x:v>
      </x:c>
      <x:c r="Y49" s="56" t="str">
        <x:v>Miền Nam</x:v>
      </x:c>
      <x:c r="Z49" s="72" t="n">
        <x:v>8</x:v>
      </x:c>
      <x:c r="AA49" s="56" t="str">
        <x:v>Bé gái 4 tuổi giọng nam\Bé gái 4 tuổi giọng nam</x:v>
      </x:c>
      <x:c r="AB49" s="56" t="str">
        <x:v>F04-S-Q008.m4a</x:v>
      </x:c>
      <x:c r="AC49" s="56" t="str">
        <x:v>.m4a</x:v>
      </x:c>
      <x:c r="AD49" s="75" t="n">
        <x:v>21.6</x:v>
      </x:c>
      <x:c r="AE49" s="78" t="n">
        <x:v>46227.35688358796</x:v>
      </x:c>
      <x:c r="AF49" s="56" t="str">
        <x:v>Sẵn sàng</x:v>
      </x:c>
      <x:c r="AG49" s="57" t="str">
        <x:v>Con không hiểu</x:v>
      </x:c>
      <x:c r="AH49" s="81" t="n">
        <x:v>1</x:v>
      </x:c>
      <x:c r="AI49" s="81" t="n">
        <x:v>1</x:v>
      </x:c>
      <x:c r="AJ49" s="84" t="n">
        <x:v>-0.3644</x:v>
      </x:c>
      <x:c r="AK49" s="84" t="n">
        <x:v>0</x:v>
      </x:c>
      <x:c r="AL49" s="87" t="n">
        <x:v>2.2386666666666666</x:v>
      </x:c>
      <x:c r="AM49" s="87" t="n">
        <x:v>-31.255652576067774</x:v>
      </x:c>
      <x:c r="AN49" s="87" t="n">
        <x:v>-15.990064778680587</x:v>
      </x:c>
      <x:c r="AO49" s="90" t="n">
        <x:v>0</x:v>
      </x:c>
      <x:c r="AP49" s="90" t="n">
        <x:v>0.5373455181655747</x:v>
      </x:c>
      <x:c r="AQ49" s="93" t="n">
        <x:v>48000</x:v>
      </x:c>
      <x:c r="AR49" s="93" t="n">
        <x:v>1</x:v>
      </x:c>
      <x:c r="AS49" s="59" t="b">
        <x:v>1</x:v>
      </x:c>
    </x:row>
    <x:row r="50" ht="32" customHeight="1">
      <x:c r="A50" s="42" t="str">
        <x:v>AIV0-F04-S-Q009</x:v>
      </x:c>
      <x:c r="B50" s="42" t="str">
        <x:v>AIV0-F04-SOUTH</x:v>
      </x:c>
      <x:c r="C50" s="42" t="str">
        <x:v>Q009</x:v>
      </x:c>
      <x:c r="D50" s="33" t="str">
        <x:v>Cô/chú nói chậm lại nhé.</x:v>
      </x:c>
      <x:c r="E50" s="21" t="str"/>
      <x:c r="F50" s="21" t="str">
        <x:v>Câu 9.m4a</x:v>
      </x:c>
      <x:c r="G50" s="21" t="str">
        <x:v>Câu 9.m4a</x:v>
      </x:c>
      <x:c r="H50" s="21" t="str">
        <x:v>C:\Users\Windows\Documents\DOCUMENTS DỰ ÁN SPEAKING AI\ÂM THANH SPEAKING AI\Bé gái 4 tuổi giọng nam\Bé gái 4 tuổi giọng nam\Câu 9.m4a</x:v>
      </x:c>
      <x:c r="I50" s="46" t="str">
        <x:v>local_70eedd1d5ba85e9d</x:v>
      </x:c>
      <x:c r="J50" s="46" t="str">
        <x:v>70eedd1d5ba85e9d71192a4947214a9ce3e7205e0127ccf2be079529435a489f</x:v>
      </x:c>
      <x:c r="K50" s="66" t="n">
        <x:v>1</x:v>
      </x:c>
      <x:c r="L50" s="46" t="str">
        <x:v>Đã ghép cục bộ</x:v>
      </x:c>
      <x:c r="M50" s="69" t="n">
        <x:v>46227.389326157405</x:v>
      </x:c>
      <x:c r="N50" s="47" t="str">
        <x:v>Kiểm thử lại</x:v>
      </x:c>
      <x:c r="O50" s="36" t="str">
        <x:v>Khó nghe</x:v>
      </x:c>
      <x:c r="P50" s="36" t="str">
        <x:v>AI nghe: "Cô nó chậm lại nhé"; khớp 76%; độ tin cậy -0.32; 3.09s; RMS -28.5 dBFS</x:v>
      </x:c>
      <x:c r="Q50" s="36" t="str">
        <x:v>Nghe lại thủ công; xác nhận các từ AI nhận dạng chưa chắc chắn.</x:v>
      </x:c>
      <x:c r="R50" s="47" t="str">
        <x:v>Đã đề xuất</x:v>
      </x:c>
      <x:c r="S50" s="46" t="str">
        <x:v>AI_PRECHECK_LARGE_V3_TURBO</x:v>
      </x:c>
      <x:c r="T50" s="69" t="n">
        <x:v>46227.389326157405</x:v>
      </x:c>
      <x:c r="U50" s="55" t="str">
        <x:v>Nói theo câu mẫu. Đối chiếu nội dung và độ rõ. Kết quả AI sơ bộ; cần người kiểm thử xác nhận.</x:v>
      </x:c>
      <x:c r="V50" s="56" t="str">
        <x:v>Nữ 4 tuổi - Miền Nam</x:v>
      </x:c>
      <x:c r="W50" s="56" t="str">
        <x:v>Nữ</x:v>
      </x:c>
      <x:c r="X50" s="72" t="n">
        <x:v>4</x:v>
      </x:c>
      <x:c r="Y50" s="56" t="str">
        <x:v>Miền Nam</x:v>
      </x:c>
      <x:c r="Z50" s="72" t="n">
        <x:v>9</x:v>
      </x:c>
      <x:c r="AA50" s="56" t="str">
        <x:v>Bé gái 4 tuổi giọng nam\Bé gái 4 tuổi giọng nam</x:v>
      </x:c>
      <x:c r="AB50" s="56" t="str">
        <x:v>F04-S-Q009.m4a</x:v>
      </x:c>
      <x:c r="AC50" s="56" t="str">
        <x:v>.m4a</x:v>
      </x:c>
      <x:c r="AD50" s="75" t="n">
        <x:v>30</x:v>
      </x:c>
      <x:c r="AE50" s="78" t="n">
        <x:v>46227.356889097224</x:v>
      </x:c>
      <x:c r="AF50" s="56" t="str">
        <x:v>Sẵn sàng</x:v>
      </x:c>
      <x:c r="AG50" s="57" t="str">
        <x:v>Cô nó chậm lại nhé</x:v>
      </x:c>
      <x:c r="AH50" s="81" t="n">
        <x:v>0.7618</x:v>
      </x:c>
      <x:c r="AI50" s="81" t="n">
        <x:v>0.6667</x:v>
      </x:c>
      <x:c r="AJ50" s="84" t="n">
        <x:v>-0.3238</x:v>
      </x:c>
      <x:c r="AK50" s="84" t="n">
        <x:v>0</x:v>
      </x:c>
      <x:c r="AL50" s="87" t="n">
        <x:v>3.092</x:v>
      </x:c>
      <x:c r="AM50" s="87" t="n">
        <x:v>-28.50934841363911</x:v>
      </x:c>
      <x:c r="AN50" s="87" t="n">
        <x:v>-13.511927216170697</x:v>
      </x:c>
      <x:c r="AO50" s="90" t="n">
        <x:v>0</x:v>
      </x:c>
      <x:c r="AP50" s="90" t="n">
        <x:v>0.4245768650280293</x:v>
      </x:c>
      <x:c r="AQ50" s="93" t="n">
        <x:v>48000</x:v>
      </x:c>
      <x:c r="AR50" s="93" t="n">
        <x:v>1</x:v>
      </x:c>
      <x:c r="AS50" s="59" t="b">
        <x:v>1</x:v>
      </x:c>
    </x:row>
    <x:row r="51" ht="32" customHeight="1">
      <x:c r="A51" s="42" t="str">
        <x:v>AIV0-F04-S-Q010</x:v>
      </x:c>
      <x:c r="B51" s="42" t="str">
        <x:v>AIV0-F04-SOUTH</x:v>
      </x:c>
      <x:c r="C51" s="42" t="str">
        <x:v>Q010</x:v>
      </x:c>
      <x:c r="D51" s="33" t="str">
        <x:v>Con muốn nghe lại.</x:v>
      </x:c>
      <x:c r="E51" s="21" t="str"/>
      <x:c r="F51" s="21" t="str">
        <x:v>Câu 10.m4a</x:v>
      </x:c>
      <x:c r="G51" s="21" t="str">
        <x:v>Câu 10.m4a</x:v>
      </x:c>
      <x:c r="H51" s="21" t="str">
        <x:v>C:\Users\Windows\Documents\DOCUMENTS DỰ ÁN SPEAKING AI\ÂM THANH SPEAKING AI\Bé gái 4 tuổi giọng nam\Bé gái 4 tuổi giọng nam\Câu 10.m4a</x:v>
      </x:c>
      <x:c r="I51" s="46" t="str">
        <x:v>local_3ec4a875a0044a9d</x:v>
      </x:c>
      <x:c r="J51" s="46" t="str">
        <x:v>3ec4a875a0044a9d8059d27c4083b747d8af5d9c024db9bd0e44ffce93373f4b</x:v>
      </x:c>
      <x:c r="K51" s="66" t="n">
        <x:v>1</x:v>
      </x:c>
      <x:c r="L51" s="46" t="str">
        <x:v>Đã ghép cục bộ</x:v>
      </x:c>
      <x:c r="M51" s="69" t="n">
        <x:v>46227.3894471875</x:v>
      </x:c>
      <x:c r="N51" s="47" t="str">
        <x:v>Kiểm thử lại</x:v>
      </x:c>
      <x:c r="O51" s="36" t="str">
        <x:v>Khó nghe</x:v>
      </x:c>
      <x:c r="P51" s="36" t="str">
        <x:v>AI nghe: "Em muốn nghe lại"; khớp 79%; độ tin cậy -0.58; 2.32s; RMS -30.2 dBFS</x:v>
      </x:c>
      <x:c r="Q51" s="36" t="str">
        <x:v>Nghe lại thủ công; xác nhận các từ AI nhận dạng chưa chắc chắn.</x:v>
      </x:c>
      <x:c r="R51" s="47" t="str">
        <x:v>Đã đề xuất</x:v>
      </x:c>
      <x:c r="S51" s="46" t="str">
        <x:v>AI_PRECHECK_LARGE_V3_TURBO</x:v>
      </x:c>
      <x:c r="T51" s="69" t="n">
        <x:v>46227.3894471875</x:v>
      </x:c>
      <x:c r="U51" s="55" t="str">
        <x:v>Nói theo câu mẫu. Đối chiếu nội dung và độ rõ. Kết quả AI sơ bộ; cần người kiểm thử xác nhận.</x:v>
      </x:c>
      <x:c r="V51" s="56" t="str">
        <x:v>Nữ 4 tuổi - Miền Nam</x:v>
      </x:c>
      <x:c r="W51" s="56" t="str">
        <x:v>Nữ</x:v>
      </x:c>
      <x:c r="X51" s="72" t="n">
        <x:v>4</x:v>
      </x:c>
      <x:c r="Y51" s="56" t="str">
        <x:v>Miền Nam</x:v>
      </x:c>
      <x:c r="Z51" s="72" t="n">
        <x:v>10</x:v>
      </x:c>
      <x:c r="AA51" s="56" t="str">
        <x:v>Bé gái 4 tuổi giọng nam\Bé gái 4 tuổi giọng nam</x:v>
      </x:c>
      <x:c r="AB51" s="56" t="str">
        <x:v>F04-S-Q010.m4a</x:v>
      </x:c>
      <x:c r="AC51" s="56" t="str">
        <x:v>.m4a</x:v>
      </x:c>
      <x:c r="AD51" s="75" t="n">
        <x:v>23.4</x:v>
      </x:c>
      <x:c r="AE51" s="78" t="n">
        <x:v>46227.35693891204</x:v>
      </x:c>
      <x:c r="AF51" s="56" t="str">
        <x:v>Sẵn sàng</x:v>
      </x:c>
      <x:c r="AG51" s="57" t="str">
        <x:v>Em muốn nghe lại</x:v>
      </x:c>
      <x:c r="AH51" s="81" t="n">
        <x:v>0.7943</x:v>
      </x:c>
      <x:c r="AI51" s="81" t="n">
        <x:v>0.75</x:v>
      </x:c>
      <x:c r="AJ51" s="84" t="n">
        <x:v>-0.5811</x:v>
      </x:c>
      <x:c r="AK51" s="84" t="n">
        <x:v>0</x:v>
      </x:c>
      <x:c r="AL51" s="87" t="n">
        <x:v>2.324</x:v>
      </x:c>
      <x:c r="AM51" s="87" t="n">
        <x:v>-30.245781073929635</x:v>
      </x:c>
      <x:c r="AN51" s="87" t="n">
        <x:v>-14.386370813222324</x:v>
      </x:c>
      <x:c r="AO51" s="90" t="n">
        <x:v>0</x:v>
      </x:c>
      <x:c r="AP51" s="90" t="n">
        <x:v>0.3901050631095812</x:v>
      </x:c>
      <x:c r="AQ51" s="93" t="n">
        <x:v>48000</x:v>
      </x:c>
      <x:c r="AR51" s="93" t="n">
        <x:v>1</x:v>
      </x:c>
      <x:c r="AS51" s="59" t="b">
        <x:v>1</x:v>
      </x:c>
    </x:row>
    <x:row r="52" ht="32" customHeight="1">
      <x:c r="A52" s="42" t="str">
        <x:v>AIV0-F04-S-Q011</x:v>
      </x:c>
      <x:c r="B52" s="42" t="str">
        <x:v>AIV0-F04-SOUTH</x:v>
      </x:c>
      <x:c r="C52" s="42" t="str">
        <x:v>Q011</x:v>
      </x:c>
      <x:c r="D52" s="33" t="str">
        <x:v>Ở nhà, con gọi ba của con là gì?</x:v>
      </x:c>
      <x:c r="E52" s="21" t="str"/>
      <x:c r="F52" s="21" t="str">
        <x:v>Câu 11.m4a</x:v>
      </x:c>
      <x:c r="G52" s="21" t="str">
        <x:v>Câu 11.m4a</x:v>
      </x:c>
      <x:c r="H52" s="21" t="str">
        <x:v>C:\Users\Windows\Documents\DOCUMENTS DỰ ÁN SPEAKING AI\ÂM THANH SPEAKING AI\Bé gái 4 tuổi giọng nam\Bé gái 4 tuổi giọng nam\Câu 11.m4a</x:v>
      </x:c>
      <x:c r="I52" s="46" t="str">
        <x:v>local_90ef50daaa4aa8c8</x:v>
      </x:c>
      <x:c r="J52" s="46" t="str">
        <x:v>90ef50daaa4aa8c88b4b5cec1d3df011d4695edf040a1ea7fad7d4f5e6298528</x:v>
      </x:c>
      <x:c r="K52" s="66" t="n">
        <x:v>1</x:v>
      </x:c>
      <x:c r="L52" s="46" t="str">
        <x:v>Đã ghép cục bộ</x:v>
      </x:c>
      <x:c r="M52" s="69" t="n">
        <x:v>46227.389570694446</x:v>
      </x:c>
      <x:c r="N52" s="47" t="str">
        <x:v>Kiểm thử lại</x:v>
      </x:c>
      <x:c r="O52" s="36" t="str">
        <x:v>Khó nghe</x:v>
      </x:c>
      <x:c r="P52" s="36" t="str">
        <x:v>AI nghe: "Con gõ là bê"; khớp 34%; độ tin cậy -0.67; 3.09s; RMS -28.9 dBFS</x:v>
      </x:c>
      <x:c r="Q52" s="36" t="str">
        <x:v>Nghe lại thủ công; chấp nhận cách gọi vùng miền tự nhiên.</x:v>
      </x:c>
      <x:c r="R52" s="47" t="str">
        <x:v>Đã đề xuất</x:v>
      </x:c>
      <x:c r="S52" s="46" t="str">
        <x:v>AI_PRECHECK_LARGE_V3_TURBO</x:v>
      </x:c>
      <x:c r="T52" s="69" t="n">
        <x:v>46227.389570694446</x:v>
      </x:c>
      <x:c r="U52" s="55" t="str">
        <x:v>Phụ huynh hỏi; trẻ trả lời tự nhiên. Chấp nhận cách gọi quen thuộc; không sửa giọng địa phương. Kết quả AI sơ bộ; cần người kiểm thử xác nhận.</x:v>
      </x:c>
      <x:c r="V52" s="56" t="str">
        <x:v>Nữ 4 tuổi - Miền Nam</x:v>
      </x:c>
      <x:c r="W52" s="56" t="str">
        <x:v>Nữ</x:v>
      </x:c>
      <x:c r="X52" s="72" t="n">
        <x:v>4</x:v>
      </x:c>
      <x:c r="Y52" s="56" t="str">
        <x:v>Miền Nam</x:v>
      </x:c>
      <x:c r="Z52" s="72" t="n">
        <x:v>11</x:v>
      </x:c>
      <x:c r="AA52" s="56" t="str">
        <x:v>Bé gái 4 tuổi giọng nam\Bé gái 4 tuổi giọng nam</x:v>
      </x:c>
      <x:c r="AB52" s="56" t="str">
        <x:v>F04-S-Q011.m4a</x:v>
      </x:c>
      <x:c r="AC52" s="56" t="str">
        <x:v>.m4a</x:v>
      </x:c>
      <x:c r="AD52" s="75" t="n">
        <x:v>30.8</x:v>
      </x:c>
      <x:c r="AE52" s="78" t="n">
        <x:v>46227.35696417824</x:v>
      </x:c>
      <x:c r="AF52" s="56" t="str">
        <x:v>Sẵn sàng</x:v>
      </x:c>
      <x:c r="AG52" s="57" t="str">
        <x:v>Con gõ là bê</x:v>
      </x:c>
      <x:c r="AH52" s="81" t="n">
        <x:v>0.3365</x:v>
      </x:c>
      <x:c r="AI52" s="81" t="n">
        <x:v>0.2222</x:v>
      </x:c>
      <x:c r="AJ52" s="84" t="n">
        <x:v>-0.6704</x:v>
      </x:c>
      <x:c r="AK52" s="84" t="n">
        <x:v>0</x:v>
      </x:c>
      <x:c r="AL52" s="87" t="n">
        <x:v>3.092</x:v>
      </x:c>
      <x:c r="AM52" s="87" t="n">
        <x:v>-28.8967085677939</x:v>
      </x:c>
      <x:c r="AN52" s="87" t="n">
        <x:v>-13.12442209116919</x:v>
      </x:c>
      <x:c r="AO52" s="90" t="n">
        <x:v>0</x:v>
      </x:c>
      <x:c r="AP52" s="90" t="n">
        <x:v>0.5490580530401035</x:v>
      </x:c>
      <x:c r="AQ52" s="93" t="n">
        <x:v>48000</x:v>
      </x:c>
      <x:c r="AR52" s="93" t="n">
        <x:v>1</x:v>
      </x:c>
      <x:c r="AS52" s="59" t="b">
        <x:v>1</x:v>
      </x:c>
    </x:row>
    <x:row r="53" ht="32" customHeight="1">
      <x:c r="A53" s="42" t="str">
        <x:v>AIV0-F04-S-Q012</x:v>
      </x:c>
      <x:c r="B53" s="42" t="str">
        <x:v>AIV0-F04-SOUTH</x:v>
      </x:c>
      <x:c r="C53" s="42" t="str">
        <x:v>Q012</x:v>
      </x:c>
      <x:c r="D53" s="33" t="str">
        <x:v>Ở chỗ con, mọi người hay nói ngô hay bắp?</x:v>
      </x:c>
      <x:c r="E53" s="21" t="str"/>
      <x:c r="F53" s="21" t="str">
        <x:v>Câu 12.m4a</x:v>
      </x:c>
      <x:c r="G53" s="21" t="str">
        <x:v>Câu 12.m4a</x:v>
      </x:c>
      <x:c r="H53" s="21" t="str">
        <x:v>C:\Users\Windows\Documents\DOCUMENTS DỰ ÁN SPEAKING AI\ÂM THANH SPEAKING AI\Bé gái 4 tuổi giọng nam\Bé gái 4 tuổi giọng nam\Câu 12.m4a</x:v>
      </x:c>
      <x:c r="I53" s="46" t="str">
        <x:v>local_217278bfa1dc304d</x:v>
      </x:c>
      <x:c r="J53" s="46" t="str">
        <x:v>217278bfa1dc304dcecd1182bd4d8b0da07cb2191e2018c7bed122bcb68b3a9e</x:v>
      </x:c>
      <x:c r="K53" s="66" t="n">
        <x:v>1</x:v>
      </x:c>
      <x:c r="L53" s="46" t="str">
        <x:v>Đã ghép cục bộ</x:v>
      </x:c>
      <x:c r="M53" s="69" t="n">
        <x:v>46227.38969449074</x:v>
      </x:c>
      <x:c r="N53" s="47" t="str">
        <x:v>Đạt</x:v>
      </x:c>
      <x:c r="O53" s="36" t="str"/>
      <x:c r="P53" s="36" t="str">
        <x:v>AI nghe: "Con gọi là Bắp"; khớp 31%; độ tin cậy -0.39; 2.58s; RMS -24.8 dBFS</x:v>
      </x:c>
      <x:c r="Q53" s="36" t="str">
        <x:v>AI nhận dạng được câu hỏi/trả lời tự nhiên; người kiểm thử xác nhận nội dung.</x:v>
      </x:c>
      <x:c r="R53" s="47" t="str">
        <x:v>Không cần sửa</x:v>
      </x:c>
      <x:c r="S53" s="46" t="str">
        <x:v>AI_PRECHECK_LARGE_V3_TURBO</x:v>
      </x:c>
      <x:c r="T53" s="69" t="n">
        <x:v>46227.38969449074</x:v>
      </x:c>
      <x:c r="U53" s="55" t="str">
        <x:v>Phụ huynh hỏi; trẻ trả lời tự nhiên. Chấp nhận cách gọi quen thuộc; không sửa giọng địa phương. Kết quả AI sơ bộ; cần người kiểm thử xác nhận.</x:v>
      </x:c>
      <x:c r="V53" s="56" t="str">
        <x:v>Nữ 4 tuổi - Miền Nam</x:v>
      </x:c>
      <x:c r="W53" s="56" t="str">
        <x:v>Nữ</x:v>
      </x:c>
      <x:c r="X53" s="72" t="n">
        <x:v>4</x:v>
      </x:c>
      <x:c r="Y53" s="56" t="str">
        <x:v>Miền Nam</x:v>
      </x:c>
      <x:c r="Z53" s="72" t="n">
        <x:v>12</x:v>
      </x:c>
      <x:c r="AA53" s="56" t="str">
        <x:v>Bé gái 4 tuổi giọng nam\Bé gái 4 tuổi giọng nam</x:v>
      </x:c>
      <x:c r="AB53" s="56" t="str">
        <x:v>F04-S-Q012.m4a</x:v>
      </x:c>
      <x:c r="AC53" s="56" t="str">
        <x:v>.m4a</x:v>
      </x:c>
      <x:c r="AD53" s="75" t="n">
        <x:v>25.1</x:v>
      </x:c>
      <x:c r="AE53" s="78" t="n">
        <x:v>46227.356976400464</x:v>
      </x:c>
      <x:c r="AF53" s="56" t="str">
        <x:v>Sẵn sàng</x:v>
      </x:c>
      <x:c r="AG53" s="57" t="str">
        <x:v>Con gọi là Bắp</x:v>
      </x:c>
      <x:c r="AH53" s="81" t="n">
        <x:v>0.3138</x:v>
      </x:c>
      <x:c r="AI53" s="81" t="n">
        <x:v>0.2</x:v>
      </x:c>
      <x:c r="AJ53" s="84" t="n">
        <x:v>-0.3922</x:v>
      </x:c>
      <x:c r="AK53" s="84" t="n">
        <x:v>0</x:v>
      </x:c>
      <x:c r="AL53" s="87" t="n">
        <x:v>2.58</x:v>
      </x:c>
      <x:c r="AM53" s="87" t="n">
        <x:v>-24.841755546351184</x:v>
      </x:c>
      <x:c r="AN53" s="87" t="n">
        <x:v>-4.967989953177121</x:v>
      </x:c>
      <x:c r="AO53" s="90" t="n">
        <x:v>0</x:v>
      </x:c>
      <x:c r="AP53" s="90" t="n">
        <x:v>0.48699127906976747</x:v>
      </x:c>
      <x:c r="AQ53" s="93" t="n">
        <x:v>48000</x:v>
      </x:c>
      <x:c r="AR53" s="93" t="n">
        <x:v>1</x:v>
      </x:c>
      <x:c r="AS53" s="59" t="b">
        <x:v>1</x:v>
      </x:c>
    </x:row>
    <x:row r="54" ht="32" customHeight="1">
      <x:c r="A54" s="42" t="str">
        <x:v>AIV0-F04-S-Q013</x:v>
      </x:c>
      <x:c r="B54" s="42" t="str">
        <x:v>AIV0-F04-SOUTH</x:v>
      </x:c>
      <x:c r="C54" s="42" t="str">
        <x:v>Q013</x:v>
      </x:c>
      <x:c r="D54" s="33" t="str">
        <x:v>Con thấy con mèo.</x:v>
      </x:c>
      <x:c r="E54" s="21" t="str"/>
      <x:c r="F54" s="21" t="str">
        <x:v>Câu 13.m4a</x:v>
      </x:c>
      <x:c r="G54" s="21" t="str">
        <x:v>Câu 13.m4a</x:v>
      </x:c>
      <x:c r="H54" s="21" t="str">
        <x:v>C:\Users\Windows\Documents\DOCUMENTS DỰ ÁN SPEAKING AI\ÂM THANH SPEAKING AI\Bé gái 4 tuổi giọng nam\Bé gái 4 tuổi giọng nam\Câu 13.m4a</x:v>
      </x:c>
      <x:c r="I54" s="46" t="str">
        <x:v>local_d3acaaa35b2ffb78</x:v>
      </x:c>
      <x:c r="J54" s="46" t="str">
        <x:v>d3acaaa35b2ffb7895975fb02bc3910537af0961974c0cc924b150f8a7b4576a</x:v>
      </x:c>
      <x:c r="K54" s="66" t="n">
        <x:v>1</x:v>
      </x:c>
      <x:c r="L54" s="46" t="str">
        <x:v>Đã ghép cục bộ</x:v>
      </x:c>
      <x:c r="M54" s="69" t="n">
        <x:v>46227.38981945602</x:v>
      </x:c>
      <x:c r="N54" s="47" t="str">
        <x:v>Đạt</x:v>
      </x:c>
      <x:c r="O54" s="36" t="str"/>
      <x:c r="P54" s="36" t="str">
        <x:v>AI nghe: "Con thấy con mèo"; khớp 100%; độ tin cậy -0.13; 2.67s; RMS -27.4 dBFS</x:v>
      </x:c>
      <x:c r="Q54" s="36" t="str">
        <x:v>AI nhận dạng khớp câu mẫu; người kiểm thử nghe xác nhận.</x:v>
      </x:c>
      <x:c r="R54" s="47" t="str">
        <x:v>Không cần sửa</x:v>
      </x:c>
      <x:c r="S54" s="46" t="str">
        <x:v>AI_PRECHECK_LARGE_V3_TURBO</x:v>
      </x:c>
      <x:c r="T54" s="69" t="n">
        <x:v>46227.38981945602</x:v>
      </x:c>
      <x:c r="U54" s="55" t="str">
        <x:v>Nói theo câu mẫu. Đối chiếu nội dung và độ rõ. Kết quả AI sơ bộ; cần người kiểm thử xác nhận.</x:v>
      </x:c>
      <x:c r="V54" s="56" t="str">
        <x:v>Nữ 4 tuổi - Miền Nam</x:v>
      </x:c>
      <x:c r="W54" s="56" t="str">
        <x:v>Nữ</x:v>
      </x:c>
      <x:c r="X54" s="72" t="n">
        <x:v>4</x:v>
      </x:c>
      <x:c r="Y54" s="56" t="str">
        <x:v>Miền Nam</x:v>
      </x:c>
      <x:c r="Z54" s="72" t="n">
        <x:v>13</x:v>
      </x:c>
      <x:c r="AA54" s="56" t="str">
        <x:v>Bé gái 4 tuổi giọng nam\Bé gái 4 tuổi giọng nam</x:v>
      </x:c>
      <x:c r="AB54" s="56" t="str">
        <x:v>F04-S-Q013.m4a</x:v>
      </x:c>
      <x:c r="AC54" s="56" t="str">
        <x:v>.m4a</x:v>
      </x:c>
      <x:c r="AD54" s="75" t="n">
        <x:v>26</x:v>
      </x:c>
      <x:c r="AE54" s="78" t="n">
        <x:v>46227.35700118056</x:v>
      </x:c>
      <x:c r="AF54" s="56" t="str">
        <x:v>Sẵn sàng</x:v>
      </x:c>
      <x:c r="AG54" s="57" t="str">
        <x:v>Con thấy con mèo</x:v>
      </x:c>
      <x:c r="AH54" s="81" t="n">
        <x:v>1</x:v>
      </x:c>
      <x:c r="AI54" s="81" t="n">
        <x:v>1</x:v>
      </x:c>
      <x:c r="AJ54" s="84" t="n">
        <x:v>-0.1267</x:v>
      </x:c>
      <x:c r="AK54" s="84" t="n">
        <x:v>0</x:v>
      </x:c>
      <x:c r="AL54" s="87" t="n">
        <x:v>2.6653333333333333</x:v>
      </x:c>
      <x:c r="AM54" s="87" t="n">
        <x:v>-27.408754667897774</x:v>
      </x:c>
      <x:c r="AN54" s="87" t="n">
        <x:v>-12.34736247524176</x:v>
      </x:c>
      <x:c r="AO54" s="90" t="n">
        <x:v>0</x:v>
      </x:c>
      <x:c r="AP54" s="90" t="n">
        <x:v>0.4759176463231616</x:v>
      </x:c>
      <x:c r="AQ54" s="93" t="n">
        <x:v>48000</x:v>
      </x:c>
      <x:c r="AR54" s="93" t="n">
        <x:v>1</x:v>
      </x:c>
      <x:c r="AS54" s="59" t="b">
        <x:v>1</x:v>
      </x:c>
    </x:row>
    <x:row r="55" ht="32" customHeight="1">
      <x:c r="A55" s="42" t="str">
        <x:v>AIV0-F04-S-Q014</x:v>
      </x:c>
      <x:c r="B55" s="42" t="str">
        <x:v>AIV0-F04-SOUTH</x:v>
      </x:c>
      <x:c r="C55" s="42" t="str">
        <x:v>Q014</x:v>
      </x:c>
      <x:c r="D55" s="33" t="str">
        <x:v>Con có một quả bóng.</x:v>
      </x:c>
      <x:c r="E55" s="21" t="str"/>
      <x:c r="F55" s="21" t="str">
        <x:v>Câu 14.m4a</x:v>
      </x:c>
      <x:c r="G55" s="21" t="str">
        <x:v>Câu 14.m4a</x:v>
      </x:c>
      <x:c r="H55" s="21" t="str">
        <x:v>C:\Users\Windows\Documents\DOCUMENTS DỰ ÁN SPEAKING AI\ÂM THANH SPEAKING AI\Bé gái 4 tuổi giọng nam\Bé gái 4 tuổi giọng nam\Câu 14.m4a</x:v>
      </x:c>
      <x:c r="I55" s="46" t="str">
        <x:v>local_426501aec007af0e</x:v>
      </x:c>
      <x:c r="J55" s="46" t="str">
        <x:v>426501aec007af0e7372a249e241ae2a0b5f39349553334d1911f7d27c7f7cab</x:v>
      </x:c>
      <x:c r="K55" s="66" t="n">
        <x:v>1</x:v>
      </x:c>
      <x:c r="L55" s="46" t="str">
        <x:v>Đã ghép cục bộ</x:v>
      </x:c>
      <x:c r="M55" s="69" t="n">
        <x:v>46227.38994440972</x:v>
      </x:c>
      <x:c r="N55" s="47" t="str">
        <x:v>Kiểm thử lại</x:v>
      </x:c>
      <x:c r="O55" s="36" t="str">
        <x:v>Khó nghe</x:v>
      </x:c>
      <x:c r="P55" s="36" t="str">
        <x:v>AI nghe: "Con có một quả bấm"; khớp 83%; độ tin cậy -0.18; 2.67s; RMS -26.0 dBFS</x:v>
      </x:c>
      <x:c r="Q55" s="36" t="str">
        <x:v>Nghe lại thủ công; xác nhận các từ AI nhận dạng chưa chắc chắn.</x:v>
      </x:c>
      <x:c r="R55" s="47" t="str">
        <x:v>Đã đề xuất</x:v>
      </x:c>
      <x:c r="S55" s="46" t="str">
        <x:v>AI_PRECHECK_LARGE_V3_TURBO</x:v>
      </x:c>
      <x:c r="T55" s="69" t="n">
        <x:v>46227.38994440972</x:v>
      </x:c>
      <x:c r="U55" s="55" t="str">
        <x:v>Nói theo câu mẫu. Đối chiếu nội dung và độ rõ. Kết quả AI sơ bộ; cần người kiểm thử xác nhận.</x:v>
      </x:c>
      <x:c r="V55" s="56" t="str">
        <x:v>Nữ 4 tuổi - Miền Nam</x:v>
      </x:c>
      <x:c r="W55" s="56" t="str">
        <x:v>Nữ</x:v>
      </x:c>
      <x:c r="X55" s="72" t="n">
        <x:v>4</x:v>
      </x:c>
      <x:c r="Y55" s="56" t="str">
        <x:v>Miền Nam</x:v>
      </x:c>
      <x:c r="Z55" s="72" t="n">
        <x:v>14</x:v>
      </x:c>
      <x:c r="AA55" s="56" t="str">
        <x:v>Bé gái 4 tuổi giọng nam\Bé gái 4 tuổi giọng nam</x:v>
      </x:c>
      <x:c r="AB55" s="56" t="str">
        <x:v>F04-S-Q014.m4a</x:v>
      </x:c>
      <x:c r="AC55" s="56" t="str">
        <x:v>.m4a</x:v>
      </x:c>
      <x:c r="AD55" s="75" t="n">
        <x:v>25.6</x:v>
      </x:c>
      <x:c r="AE55" s="78" t="n">
        <x:v>46227.35701824074</x:v>
      </x:c>
      <x:c r="AF55" s="56" t="str">
        <x:v>Sẵn sàng</x:v>
      </x:c>
      <x:c r="AG55" s="57" t="str">
        <x:v>Con có một quả bấm</x:v>
      </x:c>
      <x:c r="AH55" s="81" t="n">
        <x:v>0.8292</x:v>
      </x:c>
      <x:c r="AI55" s="81" t="n">
        <x:v>0.8</x:v>
      </x:c>
      <x:c r="AJ55" s="84" t="n">
        <x:v>-0.1792</x:v>
      </x:c>
      <x:c r="AK55" s="84" t="n">
        <x:v>0</x:v>
      </x:c>
      <x:c r="AL55" s="87" t="n">
        <x:v>2.6653333333333333</x:v>
      </x:c>
      <x:c r="AM55" s="87" t="n">
        <x:v>-25.983078339366532</x:v>
      </x:c>
      <x:c r="AN55" s="87" t="n">
        <x:v>-7.016235906293886</x:v>
      </x:c>
      <x:c r="AO55" s="90" t="n">
        <x:v>0</x:v>
      </x:c>
      <x:c r="AP55" s="90" t="n">
        <x:v>0.37130283891945975</x:v>
      </x:c>
      <x:c r="AQ55" s="93" t="n">
        <x:v>48000</x:v>
      </x:c>
      <x:c r="AR55" s="93" t="n">
        <x:v>1</x:v>
      </x:c>
      <x:c r="AS55" s="59" t="b">
        <x:v>1</x:v>
      </x:c>
    </x:row>
    <x:row r="56" ht="32" customHeight="1">
      <x:c r="A56" s="42" t="str">
        <x:v>AIV0-F04-S-Q015</x:v>
      </x:c>
      <x:c r="B56" s="42" t="str">
        <x:v>AIV0-F04-SOUTH</x:v>
      </x:c>
      <x:c r="C56" s="42" t="str">
        <x:v>Q015</x:v>
      </x:c>
      <x:c r="D56" s="33" t="str">
        <x:v>Con muốn đi chơi.</x:v>
      </x:c>
      <x:c r="E56" s="21" t="str"/>
      <x:c r="F56" s="21" t="str">
        <x:v>Câu 15.m4a</x:v>
      </x:c>
      <x:c r="G56" s="21" t="str">
        <x:v>Câu 15.m4a</x:v>
      </x:c>
      <x:c r="H56" s="21" t="str">
        <x:v>C:\Users\Windows\Documents\DOCUMENTS DỰ ÁN SPEAKING AI\ÂM THANH SPEAKING AI\Bé gái 4 tuổi giọng nam\Bé gái 4 tuổi giọng nam\Câu 15.m4a</x:v>
      </x:c>
      <x:c r="I56" s="46" t="str">
        <x:v>local_4fe515dde1728ded</x:v>
      </x:c>
      <x:c r="J56" s="46" t="str">
        <x:v>4fe515dde1728dedeffc5b3eee856930a6de204785b5c529f65299a4244b40a1</x:v>
      </x:c>
      <x:c r="K56" s="66" t="n">
        <x:v>1</x:v>
      </x:c>
      <x:c r="L56" s="46" t="str">
        <x:v>Đã ghép cục bộ</x:v>
      </x:c>
      <x:c r="M56" s="69" t="n">
        <x:v>46227.390074814815</x:v>
      </x:c>
      <x:c r="N56" s="47" t="str">
        <x:v>Kiểm thử lại</x:v>
      </x:c>
      <x:c r="O56" s="36" t="str">
        <x:v>Khó nghe</x:v>
      </x:c>
      <x:c r="P56" s="36" t="str">
        <x:v>AI nghe: "Cảm ơn đi chơi"; khớp 64%; độ tin cậy -0.67; 2.49s; RMS -24.9 dBFS</x:v>
      </x:c>
      <x:c r="Q56" s="36" t="str">
        <x:v>Nghe lại thủ công; xác nhận các từ AI nhận dạng chưa chắc chắn.</x:v>
      </x:c>
      <x:c r="R56" s="47" t="str">
        <x:v>Đã đề xuất</x:v>
      </x:c>
      <x:c r="S56" s="46" t="str">
        <x:v>AI_PRECHECK_LARGE_V3_TURBO</x:v>
      </x:c>
      <x:c r="T56" s="69" t="n">
        <x:v>46227.390074814815</x:v>
      </x:c>
      <x:c r="U56" s="55" t="str">
        <x:v>Nói theo câu mẫu. Đối chiếu nội dung và độ rõ. Kết quả AI sơ bộ; cần người kiểm thử xác nhận.</x:v>
      </x:c>
      <x:c r="V56" s="56" t="str">
        <x:v>Nữ 4 tuổi - Miền Nam</x:v>
      </x:c>
      <x:c r="W56" s="56" t="str">
        <x:v>Nữ</x:v>
      </x:c>
      <x:c r="X56" s="72" t="n">
        <x:v>4</x:v>
      </x:c>
      <x:c r="Y56" s="56" t="str">
        <x:v>Miền Nam</x:v>
      </x:c>
      <x:c r="Z56" s="72" t="n">
        <x:v>15</x:v>
      </x:c>
      <x:c r="AA56" s="56" t="str">
        <x:v>Bé gái 4 tuổi giọng nam\Bé gái 4 tuổi giọng nam</x:v>
      </x:c>
      <x:c r="AB56" s="56" t="str">
        <x:v>F04-S-Q015.m4a</x:v>
      </x:c>
      <x:c r="AC56" s="56" t="str">
        <x:v>.m4a</x:v>
      </x:c>
      <x:c r="AD56" s="75" t="n">
        <x:v>25.2</x:v>
      </x:c>
      <x:c r="AE56" s="78" t="n">
        <x:v>46227.357022766206</x:v>
      </x:c>
      <x:c r="AF56" s="56" t="str">
        <x:v>Sẵn sàng</x:v>
      </x:c>
      <x:c r="AG56" s="57" t="str">
        <x:v>Cảm ơn đi chơi</x:v>
      </x:c>
      <x:c r="AH56" s="81" t="n">
        <x:v>0.635</x:v>
      </x:c>
      <x:c r="AI56" s="81" t="n">
        <x:v>0.5</x:v>
      </x:c>
      <x:c r="AJ56" s="84" t="n">
        <x:v>-0.6664</x:v>
      </x:c>
      <x:c r="AK56" s="84" t="n">
        <x:v>0</x:v>
      </x:c>
      <x:c r="AL56" s="87" t="n">
        <x:v>2.494666666666667</x:v>
      </x:c>
      <x:c r="AM56" s="87" t="n">
        <x:v>-24.930131139660684</x:v>
      </x:c>
      <x:c r="AN56" s="87" t="n">
        <x:v>-9.569325989263461</x:v>
      </x:c>
      <x:c r="AO56" s="90" t="n">
        <x:v>0</x:v>
      </x:c>
      <x:c r="AP56" s="90" t="n">
        <x:v>0.35810562533404594</x:v>
      </x:c>
      <x:c r="AQ56" s="93" t="n">
        <x:v>48000</x:v>
      </x:c>
      <x:c r="AR56" s="93" t="n">
        <x:v>1</x:v>
      </x:c>
      <x:c r="AS56" s="59" t="b">
        <x:v>1</x:v>
      </x:c>
    </x:row>
    <x:row r="57" ht="32" customHeight="1">
      <x:c r="A57" s="42" t="str">
        <x:v>AIV0-F04-S-Q016</x:v>
      </x:c>
      <x:c r="B57" s="42" t="str">
        <x:v>AIV0-F04-SOUTH</x:v>
      </x:c>
      <x:c r="C57" s="42" t="str">
        <x:v>Q016</x:v>
      </x:c>
      <x:c r="D57" s="33" t="str">
        <x:v>Mẹ ơi, con cần giúp.</x:v>
      </x:c>
      <x:c r="E57" s="21" t="str"/>
      <x:c r="F57" s="21" t="str">
        <x:v>Câu 16.m4a</x:v>
      </x:c>
      <x:c r="G57" s="21" t="str">
        <x:v>Câu 16.m4a</x:v>
      </x:c>
      <x:c r="H57" s="21" t="str">
        <x:v>C:\Users\Windows\Documents\DOCUMENTS DỰ ÁN SPEAKING AI\ÂM THANH SPEAKING AI\Bé gái 4 tuổi giọng nam\Bé gái 4 tuổi giọng nam\Câu 16.m4a</x:v>
      </x:c>
      <x:c r="I57" s="46" t="str">
        <x:v>local_ee0c0a34bcd82538</x:v>
      </x:c>
      <x:c r="J57" s="46" t="str">
        <x:v>ee0c0a34bcd825381bd6a69120dc52f06b2d9f5a2827fa771387855f9035ac52</x:v>
      </x:c>
      <x:c r="K57" s="66" t="n">
        <x:v>1</x:v>
      </x:c>
      <x:c r="L57" s="46" t="str">
        <x:v>Đã ghép cục bộ</x:v>
      </x:c>
      <x:c r="M57" s="69" t="n">
        <x:v>46227.390206944445</x:v>
      </x:c>
      <x:c r="N57" s="47" t="str">
        <x:v>Đạt</x:v>
      </x:c>
      <x:c r="O57" s="36" t="str"/>
      <x:c r="P57" s="36" t="str">
        <x:v>AI nghe: "Mẹ ơi con cần giúp"; khớp 100%; độ tin cậy -0.22; 2.84s; RMS -27.3 dBFS</x:v>
      </x:c>
      <x:c r="Q57" s="36" t="str">
        <x:v>AI nhận dạng khớp câu mẫu; người kiểm thử nghe xác nhận.</x:v>
      </x:c>
      <x:c r="R57" s="47" t="str">
        <x:v>Không cần sửa</x:v>
      </x:c>
      <x:c r="S57" s="46" t="str">
        <x:v>AI_PRECHECK_LARGE_V3_TURBO</x:v>
      </x:c>
      <x:c r="T57" s="69" t="n">
        <x:v>46227.390206944445</x:v>
      </x:c>
      <x:c r="U57" s="55" t="str">
        <x:v>Nói theo câu mẫu. Đối chiếu nội dung và độ rõ. Kết quả AI sơ bộ; cần người kiểm thử xác nhận.</x:v>
      </x:c>
      <x:c r="V57" s="56" t="str">
        <x:v>Nữ 4 tuổi - Miền Nam</x:v>
      </x:c>
      <x:c r="W57" s="56" t="str">
        <x:v>Nữ</x:v>
      </x:c>
      <x:c r="X57" s="72" t="n">
        <x:v>4</x:v>
      </x:c>
      <x:c r="Y57" s="56" t="str">
        <x:v>Miền Nam</x:v>
      </x:c>
      <x:c r="Z57" s="72" t="n">
        <x:v>16</x:v>
      </x:c>
      <x:c r="AA57" s="56" t="str">
        <x:v>Bé gái 4 tuổi giọng nam\Bé gái 4 tuổi giọng nam</x:v>
      </x:c>
      <x:c r="AB57" s="56" t="str">
        <x:v>F04-S-Q016.m4a</x:v>
      </x:c>
      <x:c r="AC57" s="56" t="str">
        <x:v>.m4a</x:v>
      </x:c>
      <x:c r="AD57" s="75" t="n">
        <x:v>28.4</x:v>
      </x:c>
      <x:c r="AE57" s="78" t="n">
        <x:v>46227.35702931713</x:v>
      </x:c>
      <x:c r="AF57" s="56" t="str">
        <x:v>Sẵn sàng</x:v>
      </x:c>
      <x:c r="AG57" s="57" t="str">
        <x:v>Mẹ ơi con cần giúp</x:v>
      </x:c>
      <x:c r="AH57" s="81" t="n">
        <x:v>1</x:v>
      </x:c>
      <x:c r="AI57" s="81" t="n">
        <x:v>1</x:v>
      </x:c>
      <x:c r="AJ57" s="84" t="n">
        <x:v>-0.2194</x:v>
      </x:c>
      <x:c r="AK57" s="84" t="n">
        <x:v>0</x:v>
      </x:c>
      <x:c r="AL57" s="87" t="n">
        <x:v>2.836</x:v>
      </x:c>
      <x:c r="AM57" s="87" t="n">
        <x:v>-27.2897503626857</x:v>
      </x:c>
      <x:c r="AN57" s="87" t="n">
        <x:v>-9.588817867338756</x:v>
      </x:c>
      <x:c r="AO57" s="90" t="n">
        <x:v>0</x:v>
      </x:c>
      <x:c r="AP57" s="90" t="n">
        <x:v>0.45197167371885283</x:v>
      </x:c>
      <x:c r="AQ57" s="93" t="n">
        <x:v>48000</x:v>
      </x:c>
      <x:c r="AR57" s="93" t="n">
        <x:v>1</x:v>
      </x:c>
      <x:c r="AS57" s="59" t="b">
        <x:v>1</x:v>
      </x:c>
    </x:row>
    <x:row r="58" ht="32" customHeight="1">
      <x:c r="A58" s="42" t="str">
        <x:v>AIV0-F04-S-Q017</x:v>
      </x:c>
      <x:c r="B58" s="42" t="str">
        <x:v>AIV0-F04-SOUTH</x:v>
      </x:c>
      <x:c r="C58" s="42" t="str">
        <x:v>Q017</x:v>
      </x:c>
      <x:c r="D58" s="33" t="str">
        <x:v>Con muốn uống nước.</x:v>
      </x:c>
      <x:c r="E58" s="21" t="str"/>
      <x:c r="F58" s="21" t="str">
        <x:v>Câu 17.m4a</x:v>
      </x:c>
      <x:c r="G58" s="21" t="str">
        <x:v>Câu 17.m4a</x:v>
      </x:c>
      <x:c r="H58" s="21" t="str">
        <x:v>C:\Users\Windows\Documents\DOCUMENTS DỰ ÁN SPEAKING AI\ÂM THANH SPEAKING AI\Bé gái 4 tuổi giọng nam\Bé gái 4 tuổi giọng nam\Câu 17.m4a</x:v>
      </x:c>
      <x:c r="I58" s="46" t="str">
        <x:v>local_978a094ce4326dcf</x:v>
      </x:c>
      <x:c r="J58" s="46" t="str">
        <x:v>978a094ce4326dcf884acadd4a9aad0086fa754bca46f3c35c684c3625b44ae1</x:v>
      </x:c>
      <x:c r="K58" s="66" t="n">
        <x:v>1</x:v>
      </x:c>
      <x:c r="L58" s="46" t="str">
        <x:v>Đã ghép cục bộ</x:v>
      </x:c>
      <x:c r="M58" s="69" t="n">
        <x:v>46227.39033631945</x:v>
      </x:c>
      <x:c r="N58" s="47" t="str">
        <x:v>Không đạt</x:v>
      </x:c>
      <x:c r="O58" s="36" t="str">
        <x:v>Nghe không rõ; Nội dung không đúng câu mẫu</x:v>
      </x:c>
      <x:c r="P58" s="36" t="str">
        <x:v>AI nghe: "Hãy subscribe cho kênh lalaschool Để không bỏ lỡ những video hấp dẫn"; khớp 14%; độ tin cậy -0.28; 2.15s; RMS -23.3 dBFS</x:v>
      </x:c>
      <x:c r="Q58" s="36" t="str">
        <x:v>Thu lại đúng câu mẫu với tốc độ và âm lượng rõ hơn.</x:v>
      </x:c>
      <x:c r="R58" s="47" t="str">
        <x:v>Đã đề xuất</x:v>
      </x:c>
      <x:c r="S58" s="46" t="str">
        <x:v>AI_PRECHECK_LARGE_V3_TURBO</x:v>
      </x:c>
      <x:c r="T58" s="69" t="n">
        <x:v>46227.39033631945</x:v>
      </x:c>
      <x:c r="U58" s="55" t="str">
        <x:v>Bật quạt mức vừa. Đánh giá độ rõ khi có tiếng quạt nền. Kết quả AI sơ bộ; cần người kiểm thử xác nhận.</x:v>
      </x:c>
      <x:c r="V58" s="56" t="str">
        <x:v>Nữ 4 tuổi - Miền Nam</x:v>
      </x:c>
      <x:c r="W58" s="56" t="str">
        <x:v>Nữ</x:v>
      </x:c>
      <x:c r="X58" s="72" t="n">
        <x:v>4</x:v>
      </x:c>
      <x:c r="Y58" s="56" t="str">
        <x:v>Miền Nam</x:v>
      </x:c>
      <x:c r="Z58" s="72" t="n">
        <x:v>17</x:v>
      </x:c>
      <x:c r="AA58" s="56" t="str">
        <x:v>Bé gái 4 tuổi giọng nam\Bé gái 4 tuổi giọng nam</x:v>
      </x:c>
      <x:c r="AB58" s="56" t="str">
        <x:v>F04-S-Q017.m4a</x:v>
      </x:c>
      <x:c r="AC58" s="56" t="str">
        <x:v>.m4a</x:v>
      </x:c>
      <x:c r="AD58" s="75" t="n">
        <x:v>21.2</x:v>
      </x:c>
      <x:c r="AE58" s="78" t="n">
        <x:v>46227.357051770836</x:v>
      </x:c>
      <x:c r="AF58" s="56" t="str">
        <x:v>Sẵn sàng</x:v>
      </x:c>
      <x:c r="AG58" s="57" t="str">
        <x:v>Hãy subscribe cho kênh lalaschool Để không bỏ lỡ những video hấp dẫn</x:v>
      </x:c>
      <x:c r="AH58" s="81" t="n">
        <x:v>0.136</x:v>
      </x:c>
      <x:c r="AI58" s="81" t="n">
        <x:v>0</x:v>
      </x:c>
      <x:c r="AJ58" s="84" t="n">
        <x:v>-0.2788</x:v>
      </x:c>
      <x:c r="AK58" s="84" t="n">
        <x:v>0</x:v>
      </x:c>
      <x:c r="AL58" s="87" t="n">
        <x:v>2.1533333333333333</x:v>
      </x:c>
      <x:c r="AM58" s="87" t="n">
        <x:v>-23.347053248847946</x:v>
      </x:c>
      <x:c r="AN58" s="87" t="n">
        <x:v>-11.447375324461252</x:v>
      </x:c>
      <x:c r="AO58" s="90" t="n">
        <x:v>0</x:v>
      </x:c>
      <x:c r="AP58" s="90" t="n">
        <x:v>0.22332623839009288</x:v>
      </x:c>
      <x:c r="AQ58" s="93" t="n">
        <x:v>48000</x:v>
      </x:c>
      <x:c r="AR58" s="93" t="n">
        <x:v>1</x:v>
      </x:c>
      <x:c r="AS58" s="59" t="b">
        <x:v>1</x:v>
      </x:c>
    </x:row>
    <x:row r="59" ht="32" customHeight="1">
      <x:c r="A59" s="42" t="str">
        <x:v>AIV0-F04-S-Q018</x:v>
      </x:c>
      <x:c r="B59" s="42" t="str">
        <x:v>AIV0-F04-SOUTH</x:v>
      </x:c>
      <x:c r="C59" s="42" t="str">
        <x:v>Q018</x:v>
      </x:c>
      <x:c r="D59" s="33" t="str">
        <x:v>Con không hiểu.</x:v>
      </x:c>
      <x:c r="E59" s="21" t="str"/>
      <x:c r="F59" s="21" t="str">
        <x:v>Câu 18.m4a</x:v>
      </x:c>
      <x:c r="G59" s="21" t="str">
        <x:v>Câu 18.m4a</x:v>
      </x:c>
      <x:c r="H59" s="21" t="str">
        <x:v>C:\Users\Windows\Documents\DOCUMENTS DỰ ÁN SPEAKING AI\ÂM THANH SPEAKING AI\Bé gái 4 tuổi giọng nam\Bé gái 4 tuổi giọng nam\Câu 18.m4a</x:v>
      </x:c>
      <x:c r="I59" s="46" t="str">
        <x:v>local_a67b75acf55bca87</x:v>
      </x:c>
      <x:c r="J59" s="46" t="str">
        <x:v>a67b75acf55bca87a49d97a44817b07b9d83327fa8cb3ac1f107a185d9293fcd</x:v>
      </x:c>
      <x:c r="K59" s="66" t="n">
        <x:v>1</x:v>
      </x:c>
      <x:c r="L59" s="46" t="str">
        <x:v>Đã ghép cục bộ</x:v>
      </x:c>
      <x:c r="M59" s="69" t="n">
        <x:v>46227.3904784375</x:v>
      </x:c>
      <x:c r="N59" s="47" t="str">
        <x:v>Không đạt</x:v>
      </x:c>
      <x:c r="O59" s="36" t="str">
        <x:v>Nghe không rõ; Nội dung không đúng câu mẫu</x:v>
      </x:c>
      <x:c r="P59" s="36" t="str">
        <x:v>AI nghe: "Hãy subscribe cho kênh La La School Để không bỏ lỡ những video hấp dẫn"; khớp 21%; độ tin cậy -0.23; 1.81s; RMS -23.7 dBFS</x:v>
      </x:c>
      <x:c r="Q59" s="36" t="str">
        <x:v>Thu lại đúng câu mẫu với tốc độ và âm lượng rõ hơn.</x:v>
      </x:c>
      <x:c r="R59" s="47" t="str">
        <x:v>Đã đề xuất</x:v>
      </x:c>
      <x:c r="S59" s="46" t="str">
        <x:v>AI_PRECHECK_LARGE_V3_TURBO</x:v>
      </x:c>
      <x:c r="T59" s="69" t="n">
        <x:v>46227.3904784375</x:v>
      </x:c>
      <x:c r="U59" s="55" t="str">
        <x:v>Bật TV nhỏ. Đánh giá độ rõ khi có tiếng TV nền. Kết quả AI sơ bộ; cần người kiểm thử xác nhận.</x:v>
      </x:c>
      <x:c r="V59" s="56" t="str">
        <x:v>Nữ 4 tuổi - Miền Nam</x:v>
      </x:c>
      <x:c r="W59" s="56" t="str">
        <x:v>Nữ</x:v>
      </x:c>
      <x:c r="X59" s="72" t="n">
        <x:v>4</x:v>
      </x:c>
      <x:c r="Y59" s="56" t="str">
        <x:v>Miền Nam</x:v>
      </x:c>
      <x:c r="Z59" s="72" t="n">
        <x:v>18</x:v>
      </x:c>
      <x:c r="AA59" s="56" t="str">
        <x:v>Bé gái 4 tuổi giọng nam\Bé gái 4 tuổi giọng nam</x:v>
      </x:c>
      <x:c r="AB59" s="56" t="str">
        <x:v>F04-S-Q018.m4a</x:v>
      </x:c>
      <x:c r="AC59" s="56" t="str">
        <x:v>.m4a</x:v>
      </x:c>
      <x:c r="AD59" s="75" t="n">
        <x:v>18.5</x:v>
      </x:c>
      <x:c r="AE59" s="78" t="n">
        <x:v>46227.35706065972</x:v>
      </x:c>
      <x:c r="AF59" s="56" t="str">
        <x:v>Sẵn sàng</x:v>
      </x:c>
      <x:c r="AG59" s="57" t="str">
        <x:v>Hãy subscribe cho kênh La La School Để không bỏ lỡ những video hấp dẫn</x:v>
      </x:c>
      <x:c r="AH59" s="81" t="n">
        <x:v>0.206</x:v>
      </x:c>
      <x:c r="AI59" s="81" t="n">
        <x:v>0.3333</x:v>
      </x:c>
      <x:c r="AJ59" s="84" t="n">
        <x:v>-0.2349</x:v>
      </x:c>
      <x:c r="AK59" s="84" t="n">
        <x:v>0</x:v>
      </x:c>
      <x:c r="AL59" s="87" t="n">
        <x:v>1.812</x:v>
      </x:c>
      <x:c r="AM59" s="87" t="n">
        <x:v>-23.718287279596968</x:v>
      </x:c>
      <x:c r="AN59" s="87" t="n">
        <x:v>-9.019651720775785</x:v>
      </x:c>
      <x:c r="AO59" s="90" t="n">
        <x:v>0</x:v>
      </x:c>
      <x:c r="AP59" s="90" t="n">
        <x:v>0.203780353200883</x:v>
      </x:c>
      <x:c r="AQ59" s="93" t="n">
        <x:v>48000</x:v>
      </x:c>
      <x:c r="AR59" s="93" t="n">
        <x:v>1</x:v>
      </x:c>
      <x:c r="AS59" s="59" t="b">
        <x:v>1</x:v>
      </x:c>
    </x:row>
    <x:row r="60" ht="32" customHeight="1">
      <x:c r="A60" s="42" t="str">
        <x:v>AIV0-F04-S-Q019</x:v>
      </x:c>
      <x:c r="B60" s="42" t="str">
        <x:v>AIV0-F04-SOUTH</x:v>
      </x:c>
      <x:c r="C60" s="42" t="str">
        <x:v>Q019</x:v>
      </x:c>
      <x:c r="D60" s="33" t="str">
        <x:v>Cô/chú nói chậm lại nhé.</x:v>
      </x:c>
      <x:c r="E60" s="21" t="str"/>
      <x:c r="F60" s="21" t="str">
        <x:v>Câu 19.m4a</x:v>
      </x:c>
      <x:c r="G60" s="21" t="str">
        <x:v>Câu 19.m4a</x:v>
      </x:c>
      <x:c r="H60" s="21" t="str">
        <x:v>C:\Users\Windows\Documents\DOCUMENTS DỰ ÁN SPEAKING AI\ÂM THANH SPEAKING AI\Bé gái 4 tuổi giọng nam\Bé gái 4 tuổi giọng nam\Câu 19.m4a</x:v>
      </x:c>
      <x:c r="I60" s="46" t="str">
        <x:v>local_373d27ae0774897f</x:v>
      </x:c>
      <x:c r="J60" s="46" t="str">
        <x:v>373d27ae0774897fb91b6a321988d271e621b4a70bb856158ae7729144103113</x:v>
      </x:c>
      <x:c r="K60" s="66" t="n">
        <x:v>1</x:v>
      </x:c>
      <x:c r="L60" s="46" t="str">
        <x:v>Đã ghép cục bộ</x:v>
      </x:c>
      <x:c r="M60" s="69" t="n">
        <x:v>46227.390641481485</x:v>
      </x:c>
      <x:c r="N60" s="47" t="str">
        <x:v>Kiểm thử lại</x:v>
      </x:c>
      <x:c r="O60" s="36" t="str">
        <x:v>Khó nghe</x:v>
      </x:c>
      <x:c r="P60" s="36" t="str">
        <x:v>AI nghe: "Cô nói chậm lại nha!"; khớp 75%; độ tin cậy -0.33; 2.15s; RMS -22.1 dBFS</x:v>
      </x:c>
      <x:c r="Q60" s="36" t="str">
        <x:v>Nghe lại thủ công; xác nhận các từ AI nhận dạng chưa chắc chắn.</x:v>
      </x:c>
      <x:c r="R60" s="47" t="str">
        <x:v>Đã đề xuất</x:v>
      </x:c>
      <x:c r="S60" s="46" t="str">
        <x:v>AI_PRECHECK_LARGE_V3_TURBO</x:v>
      </x:c>
      <x:c r="T60" s="69" t="n">
        <x:v>46227.390641481485</x:v>
      </x:c>
      <x:c r="U60" s="55" t="str">
        <x:v>Người lớn nói từ khoảng cách xa hơn. Đánh giá khả năng nghe và phản hồi. Kết quả AI sơ bộ; cần người kiểm thử xác nhận.</x:v>
      </x:c>
      <x:c r="V60" s="56" t="str">
        <x:v>Nữ 4 tuổi - Miền Nam</x:v>
      </x:c>
      <x:c r="W60" s="56" t="str">
        <x:v>Nữ</x:v>
      </x:c>
      <x:c r="X60" s="72" t="n">
        <x:v>4</x:v>
      </x:c>
      <x:c r="Y60" s="56" t="str">
        <x:v>Miền Nam</x:v>
      </x:c>
      <x:c r="Z60" s="72" t="n">
        <x:v>19</x:v>
      </x:c>
      <x:c r="AA60" s="56" t="str">
        <x:v>Bé gái 4 tuổi giọng nam\Bé gái 4 tuổi giọng nam</x:v>
      </x:c>
      <x:c r="AB60" s="56" t="str">
        <x:v>F04-S-Q019.m4a</x:v>
      </x:c>
      <x:c r="AC60" s="56" t="str">
        <x:v>.m4a</x:v>
      </x:c>
      <x:c r="AD60" s="75" t="n">
        <x:v>21.8</x:v>
      </x:c>
      <x:c r="AE60" s="78" t="n">
        <x:v>46227.35707440972</x:v>
      </x:c>
      <x:c r="AF60" s="56" t="str">
        <x:v>Sẵn sàng</x:v>
      </x:c>
      <x:c r="AG60" s="57" t="str">
        <x:v>Cô nói chậm lại nha!</x:v>
      </x:c>
      <x:c r="AH60" s="81" t="n">
        <x:v>0.7524</x:v>
      </x:c>
      <x:c r="AI60" s="81" t="n">
        <x:v>0.6667</x:v>
      </x:c>
      <x:c r="AJ60" s="84" t="n">
        <x:v>-0.3272</x:v>
      </x:c>
      <x:c r="AK60" s="84" t="n">
        <x:v>0</x:v>
      </x:c>
      <x:c r="AL60" s="87" t="n">
        <x:v>2.1533333333333333</x:v>
      </x:c>
      <x:c r="AM60" s="87" t="n">
        <x:v>-22.060941225017654</x:v>
      </x:c>
      <x:c r="AN60" s="87" t="n">
        <x:v>-4.1470171970419205</x:v>
      </x:c>
      <x:c r="AO60" s="90" t="n">
        <x:v>0</x:v>
      </x:c>
      <x:c r="AP60" s="90" t="n">
        <x:v>0.19286958204334365</x:v>
      </x:c>
      <x:c r="AQ60" s="93" t="n">
        <x:v>48000</x:v>
      </x:c>
      <x:c r="AR60" s="93" t="n">
        <x:v>1</x:v>
      </x:c>
      <x:c r="AS60" s="59" t="b">
        <x:v>1</x:v>
      </x:c>
    </x:row>
    <x:row r="61" ht="32" customHeight="1">
      <x:c r="A61" s="43" t="str">
        <x:v>AIV0-F04-S-Q020</x:v>
      </x:c>
      <x:c r="B61" s="43" t="str">
        <x:v>AIV0-F04-SOUTH</x:v>
      </x:c>
      <x:c r="C61" s="43" t="str">
        <x:v>Q020</x:v>
      </x:c>
      <x:c r="D61" s="34" t="str">
        <x:v>Con muốn chơi với bạn.</x:v>
      </x:c>
      <x:c r="E61" s="27" t="str"/>
      <x:c r="F61" s="27" t="str">
        <x:v>Câu 20.m4a</x:v>
      </x:c>
      <x:c r="G61" s="27" t="str">
        <x:v>Câu 20.m4a</x:v>
      </x:c>
      <x:c r="H61" s="27" t="str">
        <x:v>C:\Users\Windows\Documents\DOCUMENTS DỰ ÁN SPEAKING AI\ÂM THANH SPEAKING AI\Bé gái 4 tuổi giọng nam\Bé gái 4 tuổi giọng nam\Câu 20.m4a</x:v>
      </x:c>
      <x:c r="I61" s="48" t="str">
        <x:v>local_7072e67290d0ae69</x:v>
      </x:c>
      <x:c r="J61" s="48" t="str">
        <x:v>7072e67290d0ae69b43068d5b25448a1776081e02cdbe6c347a5614897393d8c</x:v>
      </x:c>
      <x:c r="K61" s="67" t="n">
        <x:v>1</x:v>
      </x:c>
      <x:c r="L61" s="48" t="str">
        <x:v>Đã ghép cục bộ</x:v>
      </x:c>
      <x:c r="M61" s="70" t="n">
        <x:v>46227.39082623843</x:v>
      </x:c>
      <x:c r="N61" s="49" t="str">
        <x:v>Kiểm thử lại</x:v>
      </x:c>
      <x:c r="O61" s="37" t="str">
        <x:v>Khó nghe</x:v>
      </x:c>
      <x:c r="P61" s="37" t="str">
        <x:v>AI nghe: "Con muốn chơi quá bạn"; khớp 83%; độ tin cậy -0.43; 2.24s; RMS -21.3 dBFS</x:v>
      </x:c>
      <x:c r="Q61" s="37" t="str">
        <x:v>Nghe lại thủ công; xác nhận các từ AI nhận dạng chưa chắc chắn.</x:v>
      </x:c>
      <x:c r="R61" s="49" t="str">
        <x:v>Đã đề xuất</x:v>
      </x:c>
      <x:c r="S61" s="48" t="str">
        <x:v>AI_PRECHECK_LARGE_V3_TURBO</x:v>
      </x:c>
      <x:c r="T61" s="70" t="n">
        <x:v>46227.39082623843</x:v>
      </x:c>
      <x:c r="U61" s="60" t="str">
        <x:v>Lật sách hoặc đi lại nhẹ. Đánh giá độ rõ khi có tiếng động nhẹ. Kết quả AI sơ bộ; cần người kiểm thử xác nhận.</x:v>
      </x:c>
      <x:c r="V61" s="61" t="str">
        <x:v>Nữ 4 tuổi - Miền Nam</x:v>
      </x:c>
      <x:c r="W61" s="61" t="str">
        <x:v>Nữ</x:v>
      </x:c>
      <x:c r="X61" s="73" t="n">
        <x:v>4</x:v>
      </x:c>
      <x:c r="Y61" s="61" t="str">
        <x:v>Miền Nam</x:v>
      </x:c>
      <x:c r="Z61" s="73" t="n">
        <x:v>20</x:v>
      </x:c>
      <x:c r="AA61" s="61" t="str">
        <x:v>Bé gái 4 tuổi giọng nam\Bé gái 4 tuổi giọng nam</x:v>
      </x:c>
      <x:c r="AB61" s="61" t="str">
        <x:v>F04-S-Q020.m4a</x:v>
      </x:c>
      <x:c r="AC61" s="61" t="str">
        <x:v>.m4a</x:v>
      </x:c>
      <x:c r="AD61" s="76" t="n">
        <x:v>22.8</x:v>
      </x:c>
      <x:c r="AE61" s="79" t="n">
        <x:v>46227.35709164352</x:v>
      </x:c>
      <x:c r="AF61" s="61" t="str">
        <x:v>Sẵn sàng</x:v>
      </x:c>
      <x:c r="AG61" s="62" t="str">
        <x:v>Con muốn chơi quá bạn</x:v>
      </x:c>
      <x:c r="AH61" s="82" t="n">
        <x:v>0.8257</x:v>
      </x:c>
      <x:c r="AI61" s="82" t="n">
        <x:v>0.8</x:v>
      </x:c>
      <x:c r="AJ61" s="85" t="n">
        <x:v>-0.4253</x:v>
      </x:c>
      <x:c r="AK61" s="85" t="n">
        <x:v>0</x:v>
      </x:c>
      <x:c r="AL61" s="88" t="n">
        <x:v>2.2386666666666666</x:v>
      </x:c>
      <x:c r="AM61" s="88" t="n">
        <x:v>-21.29593878034969</x:v>
      </x:c>
      <x:c r="AN61" s="88" t="n">
        <x:v>-6.495673399907921</x:v>
      </x:c>
      <x:c r="AO61" s="91" t="n">
        <x:v>0</x:v>
      </x:c>
      <x:c r="AP61" s="91" t="n">
        <x:v>0.18263289160214413</x:v>
      </x:c>
      <x:c r="AQ61" s="94" t="n">
        <x:v>48000</x:v>
      </x:c>
      <x:c r="AR61" s="94" t="n">
        <x:v>1</x:v>
      </x:c>
      <x:c r="AS61" s="64" t="b">
        <x:v>1</x:v>
      </x:c>
    </x:row>
  </x:sheetData>
  <x:conditionalFormatting sqref="N2:N61">
    <x:cfRule type="expression" dxfId="0" priority="1">
      <x:formula>$N2="Đạt"</x:formula>
    </x:cfRule>
    <x:cfRule type="expression" dxfId="1" priority="2">
      <x:formula>$N2="Không đạt"</x:formula>
    </x:cfRule>
    <x:cfRule type="expression" dxfId="2" priority="3">
      <x:formula>$N2="Kiểm thử lại"</x:formula>
    </x:cfRule>
  </x:conditionalFormatting>
  <x:dataValidations count="2">
    <x:dataValidation type="list" sqref="N2:N61">
      <x:formula1>"Chưa kiểm thử,Đạt,Không đạt,Kiểm thử lại"</x:formula1>
    </x:dataValidation>
    <x:dataValidation type="list" sqref="R2:R61">
      <x:formula1>"Chưa xử lý,Không cần sửa,Đã đề xuất,Đang sửa,Đã sửa,Cần thu lại,Không thể sửa"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3a16a5ac7394f1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4" hidden="0" customWidth="1"/>
    <x:col min="4" max="4" width="28" hidden="0" customWidth="1"/>
    <x:col min="5" max="5" width="23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42" customHeight="1">
      <x:c r="A1" s="96" t="str">
        <x:v>AIV0 - KẾT QUẢ AI PRECHECK ĐỘC LẬP</x:v>
      </x:c>
      <x:c r="B1" s="96"/>
      <x:c r="C1" s="96"/>
      <x:c r="D1" s="96"/>
      <x:c r="E1" s="96"/>
      <x:c r="F1" s="96"/>
      <x:c r="G1" s="96"/>
      <x:c r="H1" s="96"/>
      <x:c r="I1" s="96"/>
    </x:row>
    <x:row r="3" ht="27" customHeight="1">
      <x:c r="A3" s="102" t="str">
        <x:v>Chỉ số</x:v>
      </x:c>
      <x:c r="B3" s="102" t="str">
        <x:v>Giá trị</x:v>
      </x:c>
      <x:c r="D3" s="109" t="str">
        <x:v>Nhóm giọng</x:v>
      </x:c>
      <x:c r="E3" s="109" t="str">
        <x:v>Batch ID</x:v>
      </x:c>
      <x:c r="F3" s="109" t="str">
        <x:v>Tổng</x:v>
      </x:c>
      <x:c r="G3" s="109" t="str">
        <x:v>Đạt</x:v>
      </x:c>
      <x:c r="H3" s="109" t="str">
        <x:v>Kiểm thử lại</x:v>
      </x:c>
      <x:c r="I3" s="109" t="str">
        <x:v>Không đạt</x:v>
      </x:c>
    </x:row>
    <x:row r="4" ht="27" customHeight="1">
      <x:c r="A4" s="103" t="str">
        <x:v>Tổng audio</x:v>
      </x:c>
      <x:c r="B4" s="104" t="n">
        <x:f>COUNTA('Samples'!A2:A61)</x:f>
        <x:v>60</x:v>
      </x:c>
      <x:c r="D4" s="110" t="str">
        <x:v>Nữ 14 tuổi - Miền Nam</x:v>
      </x:c>
      <x:c r="E4" s="110" t="str">
        <x:v>AIV0-F14-SOUTH</x:v>
      </x:c>
      <x:c r="F4" s="111" t="n">
        <x:f>COUNTIF('Samples'!B2:B61,E4)</x:f>
        <x:v>20</x:v>
      </x:c>
      <x:c r="G4" s="111" t="n">
        <x:f>COUNTIFS('Samples'!B2:B61,E4,'Samples'!N2:N61,"Đạt")</x:f>
        <x:v>17</x:v>
      </x:c>
      <x:c r="H4" s="111" t="n">
        <x:f>COUNTIFS('Samples'!B2:B61,E4,'Samples'!N2:N61,"Kiểm thử lại")</x:f>
        <x:v>3</x:v>
      </x:c>
      <x:c r="I4" s="111" t="n">
        <x:f>COUNTIFS('Samples'!B2:B61,E4,'Samples'!N2:N61,"Không đạt")</x:f>
        <x:v>0</x:v>
      </x:c>
    </x:row>
    <x:row r="5" ht="27" customHeight="1">
      <x:c r="A5" s="103" t="str">
        <x:v>AI đánh giá Đạt</x:v>
      </x:c>
      <x:c r="B5" s="104" t="n">
        <x:f>COUNTIF('Samples'!N2:N61,"Đạt")</x:f>
        <x:v>28</x:v>
      </x:c>
      <x:c r="D5" s="110" t="str">
        <x:v>Nam 4 tuổi - Miền Bắc</x:v>
      </x:c>
      <x:c r="E5" s="110" t="str">
        <x:v>AIV0-M04-NORTH</x:v>
      </x:c>
      <x:c r="F5" s="111" t="n">
        <x:f>COUNTIF('Samples'!B2:B61,E5)</x:f>
        <x:v>20</x:v>
      </x:c>
      <x:c r="G5" s="111" t="n">
        <x:f>COUNTIFS('Samples'!B2:B61,E5,'Samples'!N2:N61,"Đạt")</x:f>
        <x:v>4</x:v>
      </x:c>
      <x:c r="H5" s="111" t="n">
        <x:f>COUNTIFS('Samples'!B2:B61,E5,'Samples'!N2:N61,"Kiểm thử lại")</x:f>
        <x:v>6</x:v>
      </x:c>
      <x:c r="I5" s="111" t="n">
        <x:f>COUNTIFS('Samples'!B2:B61,E5,'Samples'!N2:N61,"Không đạt")</x:f>
        <x:v>10</x:v>
      </x:c>
    </x:row>
    <x:row r="6" ht="27" customHeight="1">
      <x:c r="A6" s="103" t="str">
        <x:v>AI yêu cầu kiểm thử lại</x:v>
      </x:c>
      <x:c r="B6" s="104" t="n">
        <x:f>COUNTIF('Samples'!N2:N61,"Kiểm thử lại")</x:f>
        <x:v>18</x:v>
      </x:c>
      <x:c r="D6" s="110" t="str">
        <x:v>Nữ 4 tuổi - Miền Nam</x:v>
      </x:c>
      <x:c r="E6" s="110" t="str">
        <x:v>AIV0-F04-SOUTH</x:v>
      </x:c>
      <x:c r="F6" s="111" t="n">
        <x:f>COUNTIF('Samples'!B2:B61,E6)</x:f>
        <x:v>20</x:v>
      </x:c>
      <x:c r="G6" s="111" t="n">
        <x:f>COUNTIFS('Samples'!B2:B61,E6,'Samples'!N2:N61,"Đạt")</x:f>
        <x:v>7</x:v>
      </x:c>
      <x:c r="H6" s="111" t="n">
        <x:f>COUNTIFS('Samples'!B2:B61,E6,'Samples'!N2:N61,"Kiểm thử lại")</x:f>
        <x:v>9</x:v>
      </x:c>
      <x:c r="I6" s="111" t="n">
        <x:f>COUNTIFS('Samples'!B2:B61,E6,'Samples'!N2:N61,"Không đạt")</x:f>
        <x:v>4</x:v>
      </x:c>
    </x:row>
    <x:row r="7" ht="27" customHeight="1">
      <x:c r="A7" s="103" t="str">
        <x:v>AI đánh giá Không đạt</x:v>
      </x:c>
      <x:c r="B7" s="104" t="n">
        <x:f>COUNTIF('Samples'!N2:N61,"Không đạt")</x:f>
        <x:v>14</x:v>
      </x:c>
    </x:row>
    <x:row r="8" ht="27" customHeight="1">
      <x:c r="A8" s="103" t="str">
        <x:v>Mô hình</x:v>
      </x:c>
      <x:c r="B8" s="105" t="str">
        <x:v>large-v3-turbo</x:v>
      </x:c>
    </x:row>
    <x:row r="9" ht="27" customHeight="1">
      <x:c r="A9" s="103" t="str">
        <x:v>Chính sách chấm</x:v>
      </x:c>
      <x:c r="B9" s="105" t="str">
        <x:v>conservative-ai-precheck-v2</x:v>
      </x:c>
    </x:row>
    <x:row r="11">
      <x:c r="A11" s="113" t="str">
        <x:v>LƯU Ý QUAN TRỌNG</x:v>
      </x:c>
      <x:c r="B11" s="113"/>
      <x:c r="C11" s="113"/>
      <x:c r="D11" s="113"/>
      <x:c r="E11" s="113"/>
      <x:c r="F11" s="113"/>
      <x:c r="G11" s="113"/>
      <x:c r="H11" s="113"/>
      <x:c r="I11" s="113"/>
    </x:row>
    <x:row r="12" ht="40" customHeight="1">
      <x:c r="A12" s="114" t="str">
        <x:v>Đây là kết quả AI sơ bộ. Hãy nghe xác nhận từng dòng, đặc biệt các mẫu Kiểm thử lại; không xóa audio chỉ dựa trên điểm AI.</x:v>
      </x:c>
      <x:c r="B12" s="114"/>
      <x:c r="C12" s="114"/>
      <x:c r="D12" s="114"/>
      <x:c r="E12" s="114"/>
      <x:c r="F12" s="114"/>
      <x:c r="G12" s="114"/>
      <x:c r="H12" s="114"/>
      <x:c r="I12" s="114"/>
    </x:row>
  </x:sheetData>
  <x:mergeCells>
    <x:mergeCell ref="A1:I1"/>
    <x:mergeCell ref="A11:I11"/>
    <x:mergeCell ref="A12:I1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8" hidden="0" customWidth="1"/>
    <x:col min="3" max="3" width="38" hidden="0" customWidth="1"/>
    <x:col min="4" max="4" width="62" hidden="0" customWidth="1"/>
  </x:cols>
  <x:sheetData>
    <x:row r="1" ht="34" customHeight="1">
      <x:c r="A1" s="116" t="str">
        <x:v>sentence_code</x:v>
      </x:c>
      <x:c r="B1" s="116" t="str">
        <x:v>Câu hỏi / câu trẻ nói</x:v>
      </x:c>
      <x:c r="C1" s="116" t="str">
        <x:v>Cách thực hiện</x:v>
      </x:c>
      <x:c r="D1" s="116" t="str">
        <x:v>Ghi chú đánh giá</x:v>
      </x:c>
    </x:row>
    <x:row r="2" ht="36" customHeight="1">
      <x:c r="A2" s="123" t="str">
        <x:v>Q001</x:v>
      </x:c>
      <x:c r="B2" s="124" t="str">
        <x:v>Con tên là Bé Mây.</x:v>
      </x:c>
      <x:c r="C2" s="124" t="str">
        <x:v>Nói theo câu mẫu</x:v>
      </x:c>
      <x:c r="D2" s="124" t="str">
        <x:v>Đối chiếu nội dung và độ rõ</x:v>
      </x:c>
    </x:row>
    <x:row r="3" ht="36" customHeight="1">
      <x:c r="A3" s="125" t="str">
        <x:v>Q002</x:v>
      </x:c>
      <x:c r="B3" s="126" t="str">
        <x:v>Con [tuổi thực tế] tuổi.</x:v>
      </x:c>
      <x:c r="C3" s="126" t="str">
        <x:v>Nói theo câu mẫu</x:v>
      </x:c>
      <x:c r="D3" s="126" t="str">
        <x:v>Đối chiếu nội dung và độ rõ</x:v>
      </x:c>
    </x:row>
    <x:row r="4" ht="36" customHeight="1">
      <x:c r="A4" s="125" t="str">
        <x:v>Q003</x:v>
      </x:c>
      <x:c r="B4" s="126" t="str">
        <x:v>Hôm nay con rất vui.</x:v>
      </x:c>
      <x:c r="C4" s="126" t="str">
        <x:v>Nói theo câu mẫu</x:v>
      </x:c>
      <x:c r="D4" s="126" t="str">
        <x:v>Đối chiếu nội dung và độ rõ</x:v>
      </x:c>
    </x:row>
    <x:row r="5" ht="36" customHeight="1">
      <x:c r="A5" s="125" t="str">
        <x:v>Q004</x:v>
      </x:c>
      <x:c r="B5" s="126" t="str">
        <x:v>Con muốn uống nước.</x:v>
      </x:c>
      <x:c r="C5" s="126" t="str">
        <x:v>Nói theo câu mẫu</x:v>
      </x:c>
      <x:c r="D5" s="126" t="str">
        <x:v>Đối chiếu nội dung và độ rõ</x:v>
      </x:c>
    </x:row>
    <x:row r="6" ht="36" customHeight="1">
      <x:c r="A6" s="125" t="str">
        <x:v>Q005</x:v>
      </x:c>
      <x:c r="B6" s="126" t="str">
        <x:v>Con thích màu đỏ.</x:v>
      </x:c>
      <x:c r="C6" s="126" t="str">
        <x:v>Nói theo câu mẫu</x:v>
      </x:c>
      <x:c r="D6" s="126" t="str">
        <x:v>Đối chiếu nội dung và độ rõ</x:v>
      </x:c>
    </x:row>
    <x:row r="7" ht="36" customHeight="1">
      <x:c r="A7" s="125" t="str">
        <x:v>Q006</x:v>
      </x:c>
      <x:c r="B7" s="126" t="str">
        <x:v>Con thích ăn cơm.</x:v>
      </x:c>
      <x:c r="C7" s="126" t="str">
        <x:v>Nói theo câu mẫu</x:v>
      </x:c>
      <x:c r="D7" s="126" t="str">
        <x:v>Đối chiếu nội dung và độ rõ</x:v>
      </x:c>
    </x:row>
    <x:row r="8" ht="36" customHeight="1">
      <x:c r="A8" s="125" t="str">
        <x:v>Q007</x:v>
      </x:c>
      <x:c r="B8" s="126" t="str">
        <x:v>Con muốn chơi với bạn.</x:v>
      </x:c>
      <x:c r="C8" s="126" t="str">
        <x:v>Nói theo câu mẫu</x:v>
      </x:c>
      <x:c r="D8" s="126" t="str">
        <x:v>Đối chiếu nội dung và độ rõ</x:v>
      </x:c>
    </x:row>
    <x:row r="9" ht="36" customHeight="1">
      <x:c r="A9" s="125" t="str">
        <x:v>Q008</x:v>
      </x:c>
      <x:c r="B9" s="126" t="str">
        <x:v>Con không hiểu.</x:v>
      </x:c>
      <x:c r="C9" s="126" t="str">
        <x:v>Nói theo câu mẫu</x:v>
      </x:c>
      <x:c r="D9" s="126" t="str">
        <x:v>Đối chiếu nội dung và độ rõ</x:v>
      </x:c>
    </x:row>
    <x:row r="10" ht="36" customHeight="1">
      <x:c r="A10" s="125" t="str">
        <x:v>Q009</x:v>
      </x:c>
      <x:c r="B10" s="126" t="str">
        <x:v>Cô/chú nói chậm lại nhé.</x:v>
      </x:c>
      <x:c r="C10" s="126" t="str">
        <x:v>Nói theo câu mẫu</x:v>
      </x:c>
      <x:c r="D10" s="126" t="str">
        <x:v>Đối chiếu nội dung và độ rõ</x:v>
      </x:c>
    </x:row>
    <x:row r="11" ht="36" customHeight="1">
      <x:c r="A11" s="125" t="str">
        <x:v>Q010</x:v>
      </x:c>
      <x:c r="B11" s="126" t="str">
        <x:v>Con muốn nghe lại.</x:v>
      </x:c>
      <x:c r="C11" s="126" t="str">
        <x:v>Nói theo câu mẫu</x:v>
      </x:c>
      <x:c r="D11" s="126" t="str">
        <x:v>Đối chiếu nội dung và độ rõ</x:v>
      </x:c>
    </x:row>
    <x:row r="12" ht="36" customHeight="1">
      <x:c r="A12" s="125" t="str">
        <x:v>Q011</x:v>
      </x:c>
      <x:c r="B12" s="126" t="str">
        <x:v>Ở nhà, con gọi ba của con là gì?</x:v>
      </x:c>
      <x:c r="C12" s="126" t="str">
        <x:v>Phụ huynh hỏi; trẻ trả lời tự nhiên</x:v>
      </x:c>
      <x:c r="D12" s="126" t="str">
        <x:v>Chấp nhận cách gọi quen thuộc; không sửa giọng địa phương</x:v>
      </x:c>
    </x:row>
    <x:row r="13" ht="36" customHeight="1">
      <x:c r="A13" s="125" t="str">
        <x:v>Q012</x:v>
      </x:c>
      <x:c r="B13" s="126" t="str">
        <x:v>Ở chỗ con, mọi người hay nói ngô hay bắp?</x:v>
      </x:c>
      <x:c r="C13" s="126" t="str">
        <x:v>Phụ huynh hỏi; trẻ trả lời tự nhiên</x:v>
      </x:c>
      <x:c r="D13" s="126" t="str">
        <x:v>Chấp nhận cách gọi quen thuộc; không sửa giọng địa phương</x:v>
      </x:c>
    </x:row>
    <x:row r="14" ht="36" customHeight="1">
      <x:c r="A14" s="125" t="str">
        <x:v>Q013</x:v>
      </x:c>
      <x:c r="B14" s="126" t="str">
        <x:v>Con thấy con mèo.</x:v>
      </x:c>
      <x:c r="C14" s="126" t="str">
        <x:v>Nói theo câu mẫu</x:v>
      </x:c>
      <x:c r="D14" s="126" t="str">
        <x:v>Đối chiếu nội dung và độ rõ</x:v>
      </x:c>
    </x:row>
    <x:row r="15" ht="36" customHeight="1">
      <x:c r="A15" s="125" t="str">
        <x:v>Q014</x:v>
      </x:c>
      <x:c r="B15" s="126" t="str">
        <x:v>Con có một quả bóng.</x:v>
      </x:c>
      <x:c r="C15" s="126" t="str">
        <x:v>Nói theo câu mẫu</x:v>
      </x:c>
      <x:c r="D15" s="126" t="str">
        <x:v>Đối chiếu nội dung và độ rõ</x:v>
      </x:c>
    </x:row>
    <x:row r="16" ht="36" customHeight="1">
      <x:c r="A16" s="125" t="str">
        <x:v>Q015</x:v>
      </x:c>
      <x:c r="B16" s="126" t="str">
        <x:v>Con muốn đi chơi.</x:v>
      </x:c>
      <x:c r="C16" s="126" t="str">
        <x:v>Nói theo câu mẫu</x:v>
      </x:c>
      <x:c r="D16" s="126" t="str">
        <x:v>Đối chiếu nội dung và độ rõ</x:v>
      </x:c>
    </x:row>
    <x:row r="17" ht="36" customHeight="1">
      <x:c r="A17" s="125" t="str">
        <x:v>Q016</x:v>
      </x:c>
      <x:c r="B17" s="126" t="str">
        <x:v>Mẹ ơi, con cần giúp.</x:v>
      </x:c>
      <x:c r="C17" s="126" t="str">
        <x:v>Nói theo câu mẫu</x:v>
      </x:c>
      <x:c r="D17" s="126" t="str">
        <x:v>Đối chiếu nội dung và độ rõ</x:v>
      </x:c>
    </x:row>
    <x:row r="18" ht="36" customHeight="1">
      <x:c r="A18" s="125" t="str">
        <x:v>Q017</x:v>
      </x:c>
      <x:c r="B18" s="126" t="str">
        <x:v>Con muốn uống nước.</x:v>
      </x:c>
      <x:c r="C18" s="126" t="str">
        <x:v>Bật quạt mức vừa</x:v>
      </x:c>
      <x:c r="D18" s="126" t="str">
        <x:v>Đánh giá độ rõ khi có tiếng quạt nền</x:v>
      </x:c>
    </x:row>
    <x:row r="19" ht="36" customHeight="1">
      <x:c r="A19" s="125" t="str">
        <x:v>Q018</x:v>
      </x:c>
      <x:c r="B19" s="126" t="str">
        <x:v>Con không hiểu.</x:v>
      </x:c>
      <x:c r="C19" s="126" t="str">
        <x:v>Bật TV nhỏ</x:v>
      </x:c>
      <x:c r="D19" s="126" t="str">
        <x:v>Đánh giá độ rõ khi có tiếng TV nền</x:v>
      </x:c>
    </x:row>
    <x:row r="20" ht="36" customHeight="1">
      <x:c r="A20" s="125" t="str">
        <x:v>Q019</x:v>
      </x:c>
      <x:c r="B20" s="126" t="str">
        <x:v>Cô/chú nói chậm lại nhé.</x:v>
      </x:c>
      <x:c r="C20" s="126" t="str">
        <x:v>Người lớn nói từ khoảng cách xa hơn</x:v>
      </x:c>
      <x:c r="D20" s="126" t="str">
        <x:v>Đánh giá khả năng nghe và phản hồi</x:v>
      </x:c>
    </x:row>
    <x:row r="21" ht="36" customHeight="1">
      <x:c r="A21" s="127" t="str">
        <x:v>Q020</x:v>
      </x:c>
      <x:c r="B21" s="128" t="str">
        <x:v>Con muốn chơi với bạn.</x:v>
      </x:c>
      <x:c r="C21" s="128" t="str">
        <x:v>Lật sách hoặc đi lại nhẹ</x:v>
      </x:c>
      <x:c r="D21" s="128" t="str">
        <x:v>Đánh giá độ rõ khi có tiếng động nhẹ</x:v>
      </x:c>
    </x:row>
  </x:sheetData>
  <x:pageMargins left="0.7" right="0.7" top="0.75" bottom="0.75" header="0.3" footer="0.3"/>
  <x:tableParts count="1">
    <x:tablePart xmlns:r="http://schemas.openxmlformats.org/officeDocument/2006/relationships" r:id="R3b6cfcd84a0c412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20" hidden="0" customWidth="1"/>
    <x:col min="4" max="4" width="18" hidden="0" customWidth="1"/>
    <x:col min="5" max="5" width="18" hidden="0" customWidth="1"/>
    <x:col min="6" max="6" width="88" hidden="0" customWidth="1"/>
  </x:cols>
  <x:sheetData>
    <x:row r="1" ht="28" customHeight="1">
      <x:c r="A1" s="129" t="str">
        <x:v>timestamp</x:v>
      </x:c>
      <x:c r="B1" s="129" t="str">
        <x:v>record_id</x:v>
      </x:c>
      <x:c r="C1" s="129" t="str">
        <x:v>action</x:v>
      </x:c>
      <x:c r="D1" s="129" t="str">
        <x:v>old_value</x:v>
      </x:c>
      <x:c r="E1" s="129" t="str">
        <x:v>new_value</x:v>
      </x:c>
      <x:c r="F1" s="129" t="str">
        <x:v>detail</x:v>
      </x:c>
    </x:row>
    <x:row r="2">
      <x:c r="A2" s="130" t="n">
        <x:v>46227.38112709491</x:v>
      </x:c>
      <x:c r="B2" t="str">
        <x:v>AIV0-F14-S-Q001</x:v>
      </x:c>
      <x:c r="C2" t="str">
        <x:v>AI_PRECHECK</x:v>
      </x:c>
      <x:c r="D2" t="str">
        <x:v>Chưa kiểm thử</x:v>
      </x:c>
      <x:c r="E2" t="str">
        <x:v>Đạt</x:v>
      </x:c>
      <x:c r="F2" t="str">
        <x:v>transcript=Con tên là Bé May; similarity=100%; categories=</x:v>
      </x:c>
    </x:row>
    <x:row r="3">
      <x:c r="A3" s="130" t="n">
        <x:v>46227.38126023148</x:v>
      </x:c>
      <x:c r="B3" t="str">
        <x:v>AIV0-F14-S-Q002</x:v>
      </x:c>
      <x:c r="C3" t="str">
        <x:v>AI_PRECHECK</x:v>
      </x:c>
      <x:c r="D3" t="str">
        <x:v>Chưa kiểm thử</x:v>
      </x:c>
      <x:c r="E3" t="str">
        <x:v>Đạt</x:v>
      </x:c>
      <x:c r="F3" t="str">
        <x:v>transcript=Con 14 tuổi; similarity=100%; categories=</x:v>
      </x:c>
    </x:row>
    <x:row r="4">
      <x:c r="A4" s="130" t="n">
        <x:v>46227.381384085646</x:v>
      </x:c>
      <x:c r="B4" t="str">
        <x:v>AIV0-F14-S-Q003</x:v>
      </x:c>
      <x:c r="C4" t="str">
        <x:v>AI_PRECHECK</x:v>
      </x:c>
      <x:c r="D4" t="str">
        <x:v>Chưa kiểm thử</x:v>
      </x:c>
      <x:c r="E4" t="str">
        <x:v>Đạt</x:v>
      </x:c>
      <x:c r="F4" t="str">
        <x:v>transcript=Hôm nay con rất vui.; similarity=100%; categories=</x:v>
      </x:c>
    </x:row>
    <x:row r="5">
      <x:c r="A5" s="130" t="n">
        <x:v>46227.381497511575</x:v>
      </x:c>
      <x:c r="B5" t="str">
        <x:v>AIV0-F14-S-Q004</x:v>
      </x:c>
      <x:c r="C5" t="str">
        <x:v>AI_PRECHECK</x:v>
      </x:c>
      <x:c r="D5" t="str">
        <x:v>Chưa kiểm thử</x:v>
      </x:c>
      <x:c r="E5" t="str">
        <x:v>Đạt</x:v>
      </x:c>
      <x:c r="F5" t="str">
        <x:v>transcript=Con muốn uống nước; similarity=100%; categories=</x:v>
      </x:c>
    </x:row>
    <x:row r="6">
      <x:c r="A6" s="130" t="n">
        <x:v>46227.38161670139</x:v>
      </x:c>
      <x:c r="B6" t="str">
        <x:v>AIV0-F14-S-Q005</x:v>
      </x:c>
      <x:c r="C6" t="str">
        <x:v>AI_PRECHECK</x:v>
      </x:c>
      <x:c r="D6" t="str">
        <x:v>Chưa kiểm thử</x:v>
      </x:c>
      <x:c r="E6" t="str">
        <x:v>Đạt</x:v>
      </x:c>
      <x:c r="F6" t="str">
        <x:v>transcript=Con thích màu đỏ; similarity=100%; categories=</x:v>
      </x:c>
    </x:row>
    <x:row r="7">
      <x:c r="A7" s="130" t="n">
        <x:v>46227.381732905094</x:v>
      </x:c>
      <x:c r="B7" t="str">
        <x:v>AIV0-F14-S-Q006</x:v>
      </x:c>
      <x:c r="C7" t="str">
        <x:v>AI_PRECHECK</x:v>
      </x:c>
      <x:c r="D7" t="str">
        <x:v>Chưa kiểm thử</x:v>
      </x:c>
      <x:c r="E7" t="str">
        <x:v>Đạt</x:v>
      </x:c>
      <x:c r="F7" t="str">
        <x:v>transcript=Con thích ăn cơm; similarity=100%; categories=</x:v>
      </x:c>
    </x:row>
    <x:row r="8">
      <x:c r="A8" s="130" t="n">
        <x:v>46227.381850833335</x:v>
      </x:c>
      <x:c r="B8" t="str">
        <x:v>AIV0-F14-S-Q007</x:v>
      </x:c>
      <x:c r="C8" t="str">
        <x:v>AI_PRECHECK</x:v>
      </x:c>
      <x:c r="D8" t="str">
        <x:v>Chưa kiểm thử</x:v>
      </x:c>
      <x:c r="E8" t="str">
        <x:v>Đạt</x:v>
      </x:c>
      <x:c r="F8" t="str">
        <x:v>transcript=Con muốn chơi với bạn; similarity=100%; categories=</x:v>
      </x:c>
    </x:row>
    <x:row r="9">
      <x:c r="A9" s="130" t="n">
        <x:v>46227.381969155096</x:v>
      </x:c>
      <x:c r="B9" t="str">
        <x:v>AIV0-F14-S-Q008</x:v>
      </x:c>
      <x:c r="C9" t="str">
        <x:v>AI_PRECHECK</x:v>
      </x:c>
      <x:c r="D9" t="str">
        <x:v>Chưa kiểm thử</x:v>
      </x:c>
      <x:c r="E9" t="str">
        <x:v>Đạt</x:v>
      </x:c>
      <x:c r="F9" t="str">
        <x:v>transcript=Con không hiểu; similarity=100%; categories=</x:v>
      </x:c>
    </x:row>
    <x:row r="10">
      <x:c r="A10" s="130" t="n">
        <x:v>46227.38208811342</x:v>
      </x:c>
      <x:c r="B10" t="str">
        <x:v>AIV0-F14-S-Q009</x:v>
      </x:c>
      <x:c r="C10" t="str">
        <x:v>AI_PRECHECK</x:v>
      </x:c>
      <x:c r="D10" t="str">
        <x:v>Chưa kiểm thử</x:v>
      </x:c>
      <x:c r="E10" t="str">
        <x:v>Kiểm thử lại</x:v>
      </x:c>
      <x:c r="F10" t="str">
        <x:v>transcript=Cô nói chậm lại nhé.; similarity=87%; categories=Khó nghe</x:v>
      </x:c>
    </x:row>
    <x:row r="11">
      <x:c r="A11" s="130" t="n">
        <x:v>46227.38221539352</x:v>
      </x:c>
      <x:c r="B11" t="str">
        <x:v>AIV0-F14-S-Q010</x:v>
      </x:c>
      <x:c r="C11" t="str">
        <x:v>AI_PRECHECK</x:v>
      </x:c>
      <x:c r="D11" t="str">
        <x:v>Chưa kiểm thử</x:v>
      </x:c>
      <x:c r="E11" t="str">
        <x:v>Đạt</x:v>
      </x:c>
      <x:c r="F11" t="str">
        <x:v>transcript=Con muốn nghe lại; similarity=100%; categories=</x:v>
      </x:c>
    </x:row>
    <x:row r="12">
      <x:c r="A12" s="130" t="n">
        <x:v>46227.38233854167</x:v>
      </x:c>
      <x:c r="B12" t="str">
        <x:v>AIV0-F14-S-Q011</x:v>
      </x:c>
      <x:c r="C12" t="str">
        <x:v>AI_PRECHECK</x:v>
      </x:c>
      <x:c r="D12" t="str">
        <x:v>Chưa kiểm thử</x:v>
      </x:c>
      <x:c r="E12" t="str">
        <x:v>Đạt</x:v>
      </x:c>
      <x:c r="F12" t="str">
        <x:v>transcript=Con gọi là bố; similarity=41%; categories=</x:v>
      </x:c>
    </x:row>
    <x:row r="13">
      <x:c r="A13" s="130" t="n">
        <x:v>46227.382458761575</x:v>
      </x:c>
      <x:c r="B13" t="str">
        <x:v>AIV0-F14-S-Q012</x:v>
      </x:c>
      <x:c r="C13" t="str">
        <x:v>AI_PRECHECK</x:v>
      </x:c>
      <x:c r="D13" t="str">
        <x:v>Chưa kiểm thử</x:v>
      </x:c>
      <x:c r="E13" t="str">
        <x:v>Đạt</x:v>
      </x:c>
      <x:c r="F13" t="str">
        <x:v>transcript=Con gọi là ngô; similarity=31%; categories=</x:v>
      </x:c>
    </x:row>
    <x:row r="14">
      <x:c r="A14" s="130" t="n">
        <x:v>46227.38257758102</x:v>
      </x:c>
      <x:c r="B14" t="str">
        <x:v>AIV0-F14-S-Q013</x:v>
      </x:c>
      <x:c r="C14" t="str">
        <x:v>AI_PRECHECK</x:v>
      </x:c>
      <x:c r="D14" t="str">
        <x:v>Chưa kiểm thử</x:v>
      </x:c>
      <x:c r="E14" t="str">
        <x:v>Đạt</x:v>
      </x:c>
      <x:c r="F14" t="str">
        <x:v>transcript=Con thấy con mèo; similarity=100%; categories=</x:v>
      </x:c>
    </x:row>
    <x:row r="15">
      <x:c r="A15" s="130" t="n">
        <x:v>46227.38269881944</x:v>
      </x:c>
      <x:c r="B15" t="str">
        <x:v>AIV0-F14-S-Q014</x:v>
      </x:c>
      <x:c r="C15" t="str">
        <x:v>AI_PRECHECK</x:v>
      </x:c>
      <x:c r="D15" t="str">
        <x:v>Chưa kiểm thử</x:v>
      </x:c>
      <x:c r="E15" t="str">
        <x:v>Đạt</x:v>
      </x:c>
      <x:c r="F15" t="str">
        <x:v>transcript=Con có một quả bóng; similarity=100%; categories=</x:v>
      </x:c>
    </x:row>
    <x:row r="16">
      <x:c r="A16" s="130" t="n">
        <x:v>46227.38283569444</x:v>
      </x:c>
      <x:c r="B16" t="str">
        <x:v>AIV0-F14-S-Q015</x:v>
      </x:c>
      <x:c r="C16" t="str">
        <x:v>AI_PRECHECK</x:v>
      </x:c>
      <x:c r="D16" t="str">
        <x:v>Chưa kiểm thử</x:v>
      </x:c>
      <x:c r="E16" t="str">
        <x:v>Đạt</x:v>
      </x:c>
      <x:c r="F16" t="str">
        <x:v>transcript=Con muốn đi chơi; similarity=100%; categories=</x:v>
      </x:c>
    </x:row>
    <x:row r="17">
      <x:c r="A17" s="130" t="n">
        <x:v>46227.383180034725</x:v>
      </x:c>
      <x:c r="B17" t="str">
        <x:v>AIV0-F14-S-Q016</x:v>
      </x:c>
      <x:c r="C17" t="str">
        <x:v>AI_PRECHECK</x:v>
      </x:c>
      <x:c r="D17" t="str">
        <x:v>Chưa kiểm thử</x:v>
      </x:c>
      <x:c r="E17" t="str">
        <x:v>Đạt</x:v>
      </x:c>
      <x:c r="F17" t="str">
        <x:v>transcript=Mẹ ơi con cần giúp; similarity=100%; categories=</x:v>
      </x:c>
    </x:row>
    <x:row r="18">
      <x:c r="A18" s="130" t="n">
        <x:v>46227.38335105324</x:v>
      </x:c>
      <x:c r="B18" t="str">
        <x:v>AIV0-F14-S-Q017</x:v>
      </x:c>
      <x:c r="C18" t="str">
        <x:v>AI_PRECHECK</x:v>
      </x:c>
      <x:c r="D18" t="str">
        <x:v>Chưa kiểm thử</x:v>
      </x:c>
      <x:c r="E18" t="str">
        <x:v>Đạt</x:v>
      </x:c>
      <x:c r="F18" t="str">
        <x:v>transcript=Con muốn uống nước; similarity=100%; categories=</x:v>
      </x:c>
    </x:row>
    <x:row r="19">
      <x:c r="A19" s="130" t="n">
        <x:v>46227.38350322917</x:v>
      </x:c>
      <x:c r="B19" t="str">
        <x:v>AIV0-F14-S-Q018</x:v>
      </x:c>
      <x:c r="C19" t="str">
        <x:v>AI_PRECHECK</x:v>
      </x:c>
      <x:c r="D19" t="str">
        <x:v>Chưa kiểm thử</x:v>
      </x:c>
      <x:c r="E19" t="str">
        <x:v>Kiểm thử lại</x:v>
      </x:c>
      <x:c r="F19" t="str">
        <x:v>transcript=Anh không hiểu; similarity=75%; categories=Khó nghe</x:v>
      </x:c>
    </x:row>
    <x:row r="20">
      <x:c r="A20" s="130" t="n">
        <x:v>46227.38367005787</x:v>
      </x:c>
      <x:c r="B20" t="str">
        <x:v>AIV0-F14-S-Q019</x:v>
      </x:c>
      <x:c r="C20" t="str">
        <x:v>AI_PRECHECK</x:v>
      </x:c>
      <x:c r="D20" t="str">
        <x:v>Chưa kiểm thử</x:v>
      </x:c>
      <x:c r="E20" t="str">
        <x:v>Kiểm thử lại</x:v>
      </x:c>
      <x:c r="F20" t="str">
        <x:v>transcript=Hồ nó chậm lại nhịp; similarity=53%; categories=Khó nghe</x:v>
      </x:c>
    </x:row>
    <x:row r="21">
      <x:c r="A21" s="130" t="n">
        <x:v>46227.38382689815</x:v>
      </x:c>
      <x:c r="B21" t="str">
        <x:v>AIV0-F14-S-Q020</x:v>
      </x:c>
      <x:c r="C21" t="str">
        <x:v>AI_PRECHECK</x:v>
      </x:c>
      <x:c r="D21" t="str">
        <x:v>Chưa kiểm thử</x:v>
      </x:c>
      <x:c r="E21" t="str">
        <x:v>Đạt</x:v>
      </x:c>
      <x:c r="F21" t="str">
        <x:v>transcript=Con muốn chơi với bạn; similarity=100%; categories=</x:v>
      </x:c>
    </x:row>
    <x:row r="22">
      <x:c r="A22" s="130" t="n">
        <x:v>46227.38399486111</x:v>
      </x:c>
      <x:c r="B22" t="str">
        <x:v>AIV0-M04-N-Q001</x:v>
      </x:c>
      <x:c r="C22" t="str">
        <x:v>AI_PRECHECK</x:v>
      </x:c>
      <x:c r="D22" t="str">
        <x:v>Chưa kiểm thử</x:v>
      </x:c>
      <x:c r="E22" t="str">
        <x:v>Không đạt</x:v>
      </x:c>
      <x:c r="F22" t="str">
        <x:v>transcript=Cảm ơn các bạn đã theo dõi.; similarity=21%; categories=Nghe không rõ; Nội dung không đúng câu mẫu</x:v>
      </x:c>
    </x:row>
    <x:row r="23">
      <x:c r="A23" s="130" t="n">
        <x:v>46227.38416152778</x:v>
      </x:c>
      <x:c r="B23" t="str">
        <x:v>AIV0-M04-N-Q002</x:v>
      </x:c>
      <x:c r="C23" t="str">
        <x:v>AI_PRECHECK</x:v>
      </x:c>
      <x:c r="D23" t="str">
        <x:v>Chưa kiểm thử</x:v>
      </x:c>
      <x:c r="E23" t="str">
        <x:v>Đạt</x:v>
      </x:c>
      <x:c r="F23" t="str">
        <x:v>transcript=Con bốn tuổi; similarity=100%; categories=</x:v>
      </x:c>
    </x:row>
    <x:row r="24">
      <x:c r="A24" s="130" t="n">
        <x:v>46227.384335613424</x:v>
      </x:c>
      <x:c r="B24" t="str">
        <x:v>AIV0-M04-N-Q003</x:v>
      </x:c>
      <x:c r="C24" t="str">
        <x:v>AI_PRECHECK</x:v>
      </x:c>
      <x:c r="D24" t="str">
        <x:v>Chưa kiểm thử</x:v>
      </x:c>
      <x:c r="E24" t="str">
        <x:v>Không đạt</x:v>
      </x:c>
      <x:c r="F24" t="str">
        <x:v>transcript=Hãy subscribe cho kênh La La School Để không bỏ lỡ những video hấp dẫn; similarity=11%; categories=Nghe không rõ; Nội dung không đúng câu mẫu</x:v>
      </x:c>
    </x:row>
    <x:row r="25">
      <x:c r="A25" s="130" t="n">
        <x:v>46227.384503518515</x:v>
      </x:c>
      <x:c r="B25" t="str">
        <x:v>AIV0-M04-N-Q004</x:v>
      </x:c>
      <x:c r="C25" t="str">
        <x:v>AI_PRECHECK</x:v>
      </x:c>
      <x:c r="D25" t="str">
        <x:v>Chưa kiểm thử</x:v>
      </x:c>
      <x:c r="E25" t="str">
        <x:v>Không đạt</x:v>
      </x:c>
      <x:c r="F25" t="str">
        <x:v>transcript=Hãy subscribe cho kênh lalaschool Để không bỏ lỡ những video hấp dẫn; similarity=14%; categories=Nghe không rõ; Nội dung không đúng câu mẫu</x:v>
      </x:c>
    </x:row>
    <x:row r="26">
      <x:c r="A26" s="130" t="n">
        <x:v>46227.384659965275</x:v>
      </x:c>
      <x:c r="B26" t="str">
        <x:v>AIV0-M04-N-Q005</x:v>
      </x:c>
      <x:c r="C26" t="str">
        <x:v>AI_PRECHECK</x:v>
      </x:c>
      <x:c r="D26" t="str">
        <x:v>Chưa kiểm thử</x:v>
      </x:c>
      <x:c r="E26" t="str">
        <x:v>Đạt</x:v>
      </x:c>
      <x:c r="F26" t="str">
        <x:v>transcript=Con thích màu đỏ; similarity=100%; categories=</x:v>
      </x:c>
    </x:row>
    <x:row r="27">
      <x:c r="A27" s="130" t="n">
        <x:v>46227.38480334491</x:v>
      </x:c>
      <x:c r="B27" t="str">
        <x:v>AIV0-M04-N-Q006</x:v>
      </x:c>
      <x:c r="C27" t="str">
        <x:v>AI_PRECHECK</x:v>
      </x:c>
      <x:c r="D27" t="str">
        <x:v>Chưa kiểm thử</x:v>
      </x:c>
      <x:c r="E27" t="str">
        <x:v>Không đạt</x:v>
      </x:c>
      <x:c r="F27" t="str">
        <x:v>transcript=Các bạn hãy đăng ký kênh để ủng hộ kênh của mình nhé!; similarity=9%; categories=Nghe không rõ; Nội dung không đúng câu mẫu</x:v>
      </x:c>
    </x:row>
    <x:row r="28">
      <x:c r="A28" s="130" t="n">
        <x:v>46227.38490052083</x:v>
      </x:c>
      <x:c r="B28" t="str">
        <x:v>AIV0-M04-N-Q007</x:v>
      </x:c>
      <x:c r="C28" t="str">
        <x:v>AI_PRECHECK</x:v>
      </x:c>
      <x:c r="D28" t="str">
        <x:v>Chưa kiểm thử</x:v>
      </x:c>
      <x:c r="E28" t="str">
        <x:v>Kiểm thử lại</x:v>
      </x:c>
      <x:c r="F28" t="str">
        <x:v>transcript=Cảm ơn chơi với bạn.; similarity=71%; categories=Khó nghe</x:v>
      </x:c>
    </x:row>
    <x:row r="29">
      <x:c r="A29" s="130" t="n">
        <x:v>46227.3850325</x:v>
      </x:c>
      <x:c r="B29" t="str">
        <x:v>AIV0-M04-N-Q008</x:v>
      </x:c>
      <x:c r="C29" t="str">
        <x:v>AI_PRECHECK</x:v>
      </x:c>
      <x:c r="D29" t="str">
        <x:v>Chưa kiểm thử</x:v>
      </x:c>
      <x:c r="E29" t="str">
        <x:v>Không đạt</x:v>
      </x:c>
      <x:c r="F29" t="str">
        <x:v>transcript=Hãy subscribe cho kênh lalaschool Để không bỏ lỡ những video hấp dẫn; similarity=21%; categories=Nghe không rõ; Nội dung không đúng câu mẫu</x:v>
      </x:c>
    </x:row>
    <x:row r="30">
      <x:c r="A30" s="130" t="n">
        <x:v>46227.38515081019</x:v>
      </x:c>
      <x:c r="B30" t="str">
        <x:v>AIV0-M04-N-Q009</x:v>
      </x:c>
      <x:c r="C30" t="str">
        <x:v>AI_PRECHECK</x:v>
      </x:c>
      <x:c r="D30" t="str">
        <x:v>Chưa kiểm thử</x:v>
      </x:c>
      <x:c r="E30" t="str">
        <x:v>Không đạt</x:v>
      </x:c>
      <x:c r="F30" t="str">
        <x:v>transcript=Con I don't like knit; similarity=20%; categories=Nghe không rõ; Nội dung không đúng câu mẫu</x:v>
      </x:c>
    </x:row>
    <x:row r="31">
      <x:c r="A31" s="130" t="n">
        <x:v>46227.385269583334</x:v>
      </x:c>
      <x:c r="B31" t="str">
        <x:v>AIV0-M04-N-Q010</x:v>
      </x:c>
      <x:c r="C31" t="str">
        <x:v>AI_PRECHECK</x:v>
      </x:c>
      <x:c r="D31" t="str">
        <x:v>Chưa kiểm thử</x:v>
      </x:c>
      <x:c r="E31" t="str">
        <x:v>Kiểm thử lại</x:v>
      </x:c>
      <x:c r="F31" t="str">
        <x:v>transcript=Cảm ơn nghe lại; similarity=64%; categories=Khó nghe</x:v>
      </x:c>
    </x:row>
    <x:row r="32">
      <x:c r="A32" s="130" t="n">
        <x:v>46227.3853940162</x:v>
      </x:c>
      <x:c r="B32" t="str">
        <x:v>AIV0-M04-N-Q011</x:v>
      </x:c>
      <x:c r="C32" t="str">
        <x:v>AI_PRECHECK</x:v>
      </x:c>
      <x:c r="D32" t="str">
        <x:v>Chưa kiểm thử</x:v>
      </x:c>
      <x:c r="E32" t="str">
        <x:v>Đạt</x:v>
      </x:c>
      <x:c r="F32" t="str">
        <x:v>transcript=Con gọi là bố.; similarity=41%; categories=</x:v>
      </x:c>
    </x:row>
    <x:row r="33">
      <x:c r="A33" s="130" t="n">
        <x:v>46227.3856966088</x:v>
      </x:c>
      <x:c r="B33" t="str">
        <x:v>AIV0-M04-N-Q012</x:v>
      </x:c>
      <x:c r="C33" t="str">
        <x:v>AI_PRECHECK</x:v>
      </x:c>
      <x:c r="D33" t="str">
        <x:v>Chưa kiểm thử</x:v>
      </x:c>
      <x:c r="E33" t="str">
        <x:v>Kiểm thử lại</x:v>
      </x:c>
      <x:c r="F33" t="str">
        <x:v>transcript=Cánh ngọt là ngon; similarity=14%; categories=Khó nghe</x:v>
      </x:c>
    </x:row>
    <x:row r="34">
      <x:c r="A34" s="130" t="n">
        <x:v>46227.386296122684</x:v>
      </x:c>
      <x:c r="B34" t="str">
        <x:v>AIV0-M04-N-Q013</x:v>
      </x:c>
      <x:c r="C34" t="str">
        <x:v>AI_PRECHECK</x:v>
      </x:c>
      <x:c r="D34" t="str">
        <x:v>Chưa kiểm thử</x:v>
      </x:c>
      <x:c r="E34" t="str">
        <x:v>Đạt</x:v>
      </x:c>
      <x:c r="F34" t="str">
        <x:v>transcript=Con thấy con mèo; similarity=100%; categories=</x:v>
      </x:c>
    </x:row>
    <x:row r="35">
      <x:c r="A35" s="130" t="n">
        <x:v>46227.38670159722</x:v>
      </x:c>
      <x:c r="B35" t="str">
        <x:v>AIV0-M04-N-Q014</x:v>
      </x:c>
      <x:c r="C35" t="str">
        <x:v>AI_PRECHECK</x:v>
      </x:c>
      <x:c r="D35" t="str">
        <x:v>Chưa kiểm thử</x:v>
      </x:c>
      <x:c r="E35" t="str">
        <x:v>Kiểm thử lại</x:v>
      </x:c>
      <x:c r="F35" t="str">
        <x:v>transcript=Còn có một quà báo; similarity=85%; categories=Khó nghe</x:v>
      </x:c>
    </x:row>
    <x:row r="36">
      <x:c r="A36" s="130" t="n">
        <x:v>46227.38716466435</x:v>
      </x:c>
      <x:c r="B36" t="str">
        <x:v>AIV0-M04-N-Q015</x:v>
      </x:c>
      <x:c r="C36" t="str">
        <x:v>AI_PRECHECK</x:v>
      </x:c>
      <x:c r="D36" t="str">
        <x:v>Chưa kiểm thử</x:v>
      </x:c>
      <x:c r="E36" t="str">
        <x:v>Không đạt</x:v>
      </x:c>
      <x:c r="F36" t="str">
        <x:v>transcript=Cảm ơn DJ; similarity=22%; categories=Nghe không rõ; Nội dung không đúng câu mẫu</x:v>
      </x:c>
    </x:row>
    <x:row r="37">
      <x:c r="A37" s="130" t="n">
        <x:v>46227.38736356481</x:v>
      </x:c>
      <x:c r="B37" t="str">
        <x:v>AIV0-M04-N-Q016</x:v>
      </x:c>
      <x:c r="C37" t="str">
        <x:v>AI_PRECHECK</x:v>
      </x:c>
      <x:c r="D37" t="str">
        <x:v>Chưa kiểm thử</x:v>
      </x:c>
      <x:c r="E37" t="str">
        <x:v>Không đạt</x:v>
      </x:c>
      <x:c r="F37" t="str">
        <x:v>transcript=Hãy subscribe cho kênh La La School Để không bỏ lỡ những video hấp dẫn; similarity=10%; categories=Nghe không rõ; Nội dung không đúng câu mẫu</x:v>
      </x:c>
    </x:row>
    <x:row r="38">
      <x:c r="A38" s="130" t="n">
        <x:v>46227.38754915509</x:v>
      </x:c>
      <x:c r="B38" t="str">
        <x:v>AIV0-M04-N-Q017</x:v>
      </x:c>
      <x:c r="C38" t="str">
        <x:v>AI_PRECHECK</x:v>
      </x:c>
      <x:c r="D38" t="str">
        <x:v>Chưa kiểm thử</x:v>
      </x:c>
      <x:c r="E38" t="str">
        <x:v>Không đạt</x:v>
      </x:c>
      <x:c r="F38" t="str">
        <x:v>transcript=Hãy subscribe cho kênh La La School Để không bỏ lỡ những video hấp dẫn; similarity=13%; categories=Nghe không rõ; Nội dung không đúng câu mẫu</x:v>
      </x:c>
    </x:row>
    <x:row r="39">
      <x:c r="A39" s="130" t="n">
        <x:v>46227.38773407407</x:v>
      </x:c>
      <x:c r="B39" t="str">
        <x:v>AIV0-M04-N-Q018</x:v>
      </x:c>
      <x:c r="C39" t="str">
        <x:v>AI_PRECHECK</x:v>
      </x:c>
      <x:c r="D39" t="str">
        <x:v>Chưa kiểm thử</x:v>
      </x:c>
      <x:c r="E39" t="str">
        <x:v>Không đạt</x:v>
      </x:c>
      <x:c r="F39" t="str">
        <x:v>transcript=Hãy subscribe cho kênh La La School Để không bỏ lỡ những video hấp dẫn; similarity=21%; categories=Nghe không rõ; Nội dung không đúng câu mẫu</x:v>
      </x:c>
    </x:row>
    <x:row r="40">
      <x:c r="A40" s="130" t="n">
        <x:v>46227.38790483796</x:v>
      </x:c>
      <x:c r="B40" t="str">
        <x:v>AIV0-M04-N-Q019</x:v>
      </x:c>
      <x:c r="C40" t="str">
        <x:v>AI_PRECHECK</x:v>
      </x:c>
      <x:c r="D40" t="str">
        <x:v>Chưa kiểm thử</x:v>
      </x:c>
      <x:c r="E40" t="str">
        <x:v>Kiểm thử lại</x:v>
      </x:c>
      <x:c r="F40" t="str">
        <x:v>transcript=Cô nói chẳng lạc nhé!; similarity=63%; categories=Khó nghe</x:v>
      </x:c>
    </x:row>
    <x:row r="41">
      <x:c r="A41" s="130" t="n">
        <x:v>46227.388078668984</x:v>
      </x:c>
      <x:c r="B41" t="str">
        <x:v>AIV0-M04-N-Q020</x:v>
      </x:c>
      <x:c r="C41" t="str">
        <x:v>AI_PRECHECK</x:v>
      </x:c>
      <x:c r="D41" t="str">
        <x:v>Chưa kiểm thử</x:v>
      </x:c>
      <x:c r="E41" t="str">
        <x:v>Kiểm thử lại</x:v>
      </x:c>
      <x:c r="F41" t="str">
        <x:v>transcript=Tôi muốn chơi với bạn.; similarity=85%; categories=Khó nghe</x:v>
      </x:c>
    </x:row>
    <x:row r="42">
      <x:c r="A42" s="130" t="n">
        <x:v>46227.3882618287</x:v>
      </x:c>
      <x:c r="B42" t="str">
        <x:v>AIV0-F04-S-Q001</x:v>
      </x:c>
      <x:c r="C42" t="str">
        <x:v>AI_PRECHECK</x:v>
      </x:c>
      <x:c r="D42" t="str">
        <x:v>Chưa kiểm thử</x:v>
      </x:c>
      <x:c r="E42" t="str">
        <x:v>Kiểm thử lại</x:v>
      </x:c>
      <x:c r="F42" t="str">
        <x:v>transcript=Cùng là bí mây; similarity=54%; categories=Khó nghe</x:v>
      </x:c>
    </x:row>
    <x:row r="43">
      <x:c r="A43" s="130" t="n">
        <x:v>46227.38844821759</x:v>
      </x:c>
      <x:c r="B43" t="str">
        <x:v>AIV0-F04-S-Q002</x:v>
      </x:c>
      <x:c r="C43" t="str">
        <x:v>AI_PRECHECK</x:v>
      </x:c>
      <x:c r="D43" t="str">
        <x:v>Chưa kiểm thử</x:v>
      </x:c>
      <x:c r="E43" t="str">
        <x:v>Đạt</x:v>
      </x:c>
      <x:c r="F43" t="str">
        <x:v>transcript=Còn 4 tuổi; similarity=100%; categories=</x:v>
      </x:c>
    </x:row>
    <x:row r="44">
      <x:c r="A44" s="130" t="n">
        <x:v>46227.38859041667</x:v>
      </x:c>
      <x:c r="B44" t="str">
        <x:v>AIV0-F04-S-Q003</x:v>
      </x:c>
      <x:c r="C44" t="str">
        <x:v>AI_PRECHECK</x:v>
      </x:c>
      <x:c r="D44" t="str">
        <x:v>Chưa kiểm thử</x:v>
      </x:c>
      <x:c r="E44" t="str">
        <x:v>Không đạt</x:v>
      </x:c>
      <x:c r="F44" t="str">
        <x:v>transcript=Hãy subscribe cho kênh lalaschool Để không bỏ lỡ những video hấp dẫn; similarity=11%; categories=Nghe không rõ; Nội dung không đúng câu mẫu</x:v>
      </x:c>
    </x:row>
    <x:row r="45">
      <x:c r="A45" s="130" t="n">
        <x:v>46227.388713148146</x:v>
      </x:c>
      <x:c r="B45" t="str">
        <x:v>AIV0-F04-S-Q004</x:v>
      </x:c>
      <x:c r="C45" t="str">
        <x:v>AI_PRECHECK</x:v>
      </x:c>
      <x:c r="D45" t="str">
        <x:v>Chưa kiểm thử</x:v>
      </x:c>
      <x:c r="E45" t="str">
        <x:v>Không đạt</x:v>
      </x:c>
      <x:c r="F45" t="str">
        <x:v>transcript=Hãy subscribe cho kênh La La School Để không bỏ lỡ những video hấp dẫn; similarity=13%; categories=Nghe không rõ; Nội dung không đúng câu mẫu</x:v>
      </x:c>
    </x:row>
    <x:row r="46">
      <x:c r="A46" s="130" t="n">
        <x:v>46227.388833032404</x:v>
      </x:c>
      <x:c r="B46" t="str">
        <x:v>AIV0-F04-S-Q005</x:v>
      </x:c>
      <x:c r="C46" t="str">
        <x:v>AI_PRECHECK</x:v>
      </x:c>
      <x:c r="D46" t="str">
        <x:v>Chưa kiểm thử</x:v>
      </x:c>
      <x:c r="E46" t="str">
        <x:v>Đạt</x:v>
      </x:c>
      <x:c r="F46" t="str">
        <x:v>transcript=Con thích màu đỏ; similarity=100%; categories=</x:v>
      </x:c>
    </x:row>
    <x:row r="47">
      <x:c r="A47" s="130" t="n">
        <x:v>46227.38896809028</x:v>
      </x:c>
      <x:c r="B47" t="str">
        <x:v>AIV0-F04-S-Q006</x:v>
      </x:c>
      <x:c r="C47" t="str">
        <x:v>AI_PRECHECK</x:v>
      </x:c>
      <x:c r="D47" t="str">
        <x:v>Chưa kiểm thử</x:v>
      </x:c>
      <x:c r="E47" t="str">
        <x:v>Đạt</x:v>
      </x:c>
      <x:c r="F47" t="str">
        <x:v>transcript=Con thích ăn cơm; similarity=100%; categories=</x:v>
      </x:c>
    </x:row>
    <x:row r="48">
      <x:c r="A48" s="130" t="n">
        <x:v>46227.38908648148</x:v>
      </x:c>
      <x:c r="B48" t="str">
        <x:v>AIV0-F04-S-Q007</x:v>
      </x:c>
      <x:c r="C48" t="str">
        <x:v>AI_PRECHECK</x:v>
      </x:c>
      <x:c r="D48" t="str">
        <x:v>Chưa kiểm thử</x:v>
      </x:c>
      <x:c r="E48" t="str">
        <x:v>Kiểm thử lại</x:v>
      </x:c>
      <x:c r="F48" t="str">
        <x:v>transcript=Con muốn chơi với mẹ; similarity=84%; categories=Khó nghe</x:v>
      </x:c>
    </x:row>
    <x:row r="49">
      <x:c r="A49" s="130" t="n">
        <x:v>46227.38920857639</x:v>
      </x:c>
      <x:c r="B49" t="str">
        <x:v>AIV0-F04-S-Q008</x:v>
      </x:c>
      <x:c r="C49" t="str">
        <x:v>AI_PRECHECK</x:v>
      </x:c>
      <x:c r="D49" t="str">
        <x:v>Chưa kiểm thử</x:v>
      </x:c>
      <x:c r="E49" t="str">
        <x:v>Đạt</x:v>
      </x:c>
      <x:c r="F49" t="str">
        <x:v>transcript=Con không hiểu; similarity=100%; categories=</x:v>
      </x:c>
    </x:row>
    <x:row r="50">
      <x:c r="A50" s="130" t="n">
        <x:v>46227.389326157405</x:v>
      </x:c>
      <x:c r="B50" t="str">
        <x:v>AIV0-F04-S-Q009</x:v>
      </x:c>
      <x:c r="C50" t="str">
        <x:v>AI_PRECHECK</x:v>
      </x:c>
      <x:c r="D50" t="str">
        <x:v>Chưa kiểm thử</x:v>
      </x:c>
      <x:c r="E50" t="str">
        <x:v>Kiểm thử lại</x:v>
      </x:c>
      <x:c r="F50" t="str">
        <x:v>transcript=Cô nó chậm lại nhé; similarity=76%; categories=Khó nghe</x:v>
      </x:c>
    </x:row>
    <x:row r="51">
      <x:c r="A51" s="130" t="n">
        <x:v>46227.3894471875</x:v>
      </x:c>
      <x:c r="B51" t="str">
        <x:v>AIV0-F04-S-Q010</x:v>
      </x:c>
      <x:c r="C51" t="str">
        <x:v>AI_PRECHECK</x:v>
      </x:c>
      <x:c r="D51" t="str">
        <x:v>Chưa kiểm thử</x:v>
      </x:c>
      <x:c r="E51" t="str">
        <x:v>Kiểm thử lại</x:v>
      </x:c>
      <x:c r="F51" t="str">
        <x:v>transcript=Em muốn nghe lại; similarity=79%; categories=Khó nghe</x:v>
      </x:c>
    </x:row>
    <x:row r="52">
      <x:c r="A52" s="130" t="n">
        <x:v>46227.389570694446</x:v>
      </x:c>
      <x:c r="B52" t="str">
        <x:v>AIV0-F04-S-Q011</x:v>
      </x:c>
      <x:c r="C52" t="str">
        <x:v>AI_PRECHECK</x:v>
      </x:c>
      <x:c r="D52" t="str">
        <x:v>Chưa kiểm thử</x:v>
      </x:c>
      <x:c r="E52" t="str">
        <x:v>Kiểm thử lại</x:v>
      </x:c>
      <x:c r="F52" t="str">
        <x:v>transcript=Con gõ là bê; similarity=34%; categories=Khó nghe</x:v>
      </x:c>
    </x:row>
    <x:row r="53">
      <x:c r="A53" s="130" t="n">
        <x:v>46227.38969449074</x:v>
      </x:c>
      <x:c r="B53" t="str">
        <x:v>AIV0-F04-S-Q012</x:v>
      </x:c>
      <x:c r="C53" t="str">
        <x:v>AI_PRECHECK</x:v>
      </x:c>
      <x:c r="D53" t="str">
        <x:v>Chưa kiểm thử</x:v>
      </x:c>
      <x:c r="E53" t="str">
        <x:v>Đạt</x:v>
      </x:c>
      <x:c r="F53" t="str">
        <x:v>transcript=Con gọi là Bắp; similarity=31%; categories=</x:v>
      </x:c>
    </x:row>
    <x:row r="54">
      <x:c r="A54" s="130" t="n">
        <x:v>46227.38981945602</x:v>
      </x:c>
      <x:c r="B54" t="str">
        <x:v>AIV0-F04-S-Q013</x:v>
      </x:c>
      <x:c r="C54" t="str">
        <x:v>AI_PRECHECK</x:v>
      </x:c>
      <x:c r="D54" t="str">
        <x:v>Chưa kiểm thử</x:v>
      </x:c>
      <x:c r="E54" t="str">
        <x:v>Đạt</x:v>
      </x:c>
      <x:c r="F54" t="str">
        <x:v>transcript=Con thấy con mèo; similarity=100%; categories=</x:v>
      </x:c>
    </x:row>
    <x:row r="55">
      <x:c r="A55" s="130" t="n">
        <x:v>46227.38994440972</x:v>
      </x:c>
      <x:c r="B55" t="str">
        <x:v>AIV0-F04-S-Q014</x:v>
      </x:c>
      <x:c r="C55" t="str">
        <x:v>AI_PRECHECK</x:v>
      </x:c>
      <x:c r="D55" t="str">
        <x:v>Chưa kiểm thử</x:v>
      </x:c>
      <x:c r="E55" t="str">
        <x:v>Kiểm thử lại</x:v>
      </x:c>
      <x:c r="F55" t="str">
        <x:v>transcript=Con có một quả bấm; similarity=83%; categories=Khó nghe</x:v>
      </x:c>
    </x:row>
    <x:row r="56">
      <x:c r="A56" s="130" t="n">
        <x:v>46227.390074814815</x:v>
      </x:c>
      <x:c r="B56" t="str">
        <x:v>AIV0-F04-S-Q015</x:v>
      </x:c>
      <x:c r="C56" t="str">
        <x:v>AI_PRECHECK</x:v>
      </x:c>
      <x:c r="D56" t="str">
        <x:v>Chưa kiểm thử</x:v>
      </x:c>
      <x:c r="E56" t="str">
        <x:v>Kiểm thử lại</x:v>
      </x:c>
      <x:c r="F56" t="str">
        <x:v>transcript=Cảm ơn đi chơi; similarity=64%; categories=Khó nghe</x:v>
      </x:c>
    </x:row>
    <x:row r="57">
      <x:c r="A57" s="130" t="n">
        <x:v>46227.390206944445</x:v>
      </x:c>
      <x:c r="B57" t="str">
        <x:v>AIV0-F04-S-Q016</x:v>
      </x:c>
      <x:c r="C57" t="str">
        <x:v>AI_PRECHECK</x:v>
      </x:c>
      <x:c r="D57" t="str">
        <x:v>Chưa kiểm thử</x:v>
      </x:c>
      <x:c r="E57" t="str">
        <x:v>Đạt</x:v>
      </x:c>
      <x:c r="F57" t="str">
        <x:v>transcript=Mẹ ơi con cần giúp; similarity=100%; categories=</x:v>
      </x:c>
    </x:row>
    <x:row r="58">
      <x:c r="A58" s="130" t="n">
        <x:v>46227.39033631945</x:v>
      </x:c>
      <x:c r="B58" t="str">
        <x:v>AIV0-F04-S-Q017</x:v>
      </x:c>
      <x:c r="C58" t="str">
        <x:v>AI_PRECHECK</x:v>
      </x:c>
      <x:c r="D58" t="str">
        <x:v>Chưa kiểm thử</x:v>
      </x:c>
      <x:c r="E58" t="str">
        <x:v>Không đạt</x:v>
      </x:c>
      <x:c r="F58" t="str">
        <x:v>transcript=Hãy subscribe cho kênh lalaschool Để không bỏ lỡ những video hấp dẫn; similarity=14%; categories=Nghe không rõ; Nội dung không đúng câu mẫu</x:v>
      </x:c>
    </x:row>
    <x:row r="59">
      <x:c r="A59" s="130" t="n">
        <x:v>46227.3904784375</x:v>
      </x:c>
      <x:c r="B59" t="str">
        <x:v>AIV0-F04-S-Q018</x:v>
      </x:c>
      <x:c r="C59" t="str">
        <x:v>AI_PRECHECK</x:v>
      </x:c>
      <x:c r="D59" t="str">
        <x:v>Chưa kiểm thử</x:v>
      </x:c>
      <x:c r="E59" t="str">
        <x:v>Không đạt</x:v>
      </x:c>
      <x:c r="F59" t="str">
        <x:v>transcript=Hãy subscribe cho kênh La La School Để không bỏ lỡ những video hấp dẫn; similarity=21%; categories=Nghe không rõ; Nội dung không đúng câu mẫu</x:v>
      </x:c>
    </x:row>
    <x:row r="60">
      <x:c r="A60" s="130" t="n">
        <x:v>46227.390641481485</x:v>
      </x:c>
      <x:c r="B60" t="str">
        <x:v>AIV0-F04-S-Q019</x:v>
      </x:c>
      <x:c r="C60" t="str">
        <x:v>AI_PRECHECK</x:v>
      </x:c>
      <x:c r="D60" t="str">
        <x:v>Chưa kiểm thử</x:v>
      </x:c>
      <x:c r="E60" t="str">
        <x:v>Kiểm thử lại</x:v>
      </x:c>
      <x:c r="F60" t="str">
        <x:v>transcript=Cô nói chậm lại nha!; similarity=75%; categories=Khó nghe</x:v>
      </x:c>
    </x:row>
    <x:row r="61">
      <x:c r="A61" s="130" t="n">
        <x:v>46227.39082623843</x:v>
      </x:c>
      <x:c r="B61" t="str">
        <x:v>AIV0-F04-S-Q020</x:v>
      </x:c>
      <x:c r="C61" t="str">
        <x:v>AI_PRECHECK</x:v>
      </x:c>
      <x:c r="D61" t="str">
        <x:v>Chưa kiểm thử</x:v>
      </x:c>
      <x:c r="E61" t="str">
        <x:v>Kiểm thử lại</x:v>
      </x:c>
      <x:c r="F61" t="str">
        <x:v>transcript=Con muốn chơi quá bạn; similarity=83%; categories=Khó nghe</x:v>
      </x:c>
    </x:row>
  </x:sheetData>
  <x:pageMargins left="0.7" right="0.7" top="0.75" bottom="0.75" header="0.3" footer="0.3"/>
  <x:tableParts count="1">
    <x:tablePart xmlns:r="http://schemas.openxmlformats.org/officeDocument/2006/relationships" r:id="R5903f16bfba7405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0" hidden="0" customWidth="1"/>
  </x:cols>
  <x:sheetData>
    <x:row r="1" ht="36" customHeight="1">
      <x:c r="A1" s="131" t="str">
        <x:v>AIV0 AI Precheck - Hướng dẫn kiểm thử lại</x:v>
      </x:c>
    </x:row>
    <x:row r="2" ht="26" customHeight="1">
      <x:c r="A2" s="121" t="str">
        <x:v>1. Mở sheet Samples hoặc mở workbook bằng V0.2.</x:v>
      </x:c>
    </x:row>
    <x:row r="3" ht="26" customHeight="1">
      <x:c r="A3" s="121" t="str">
        <x:v>2. Lọc test_result = Kiểm thử lại trước và nghe xác nhận từng audio.</x:v>
      </x:c>
    </x:row>
    <x:row r="4" ht="26" customHeight="1">
      <x:c r="A4" s="121" t="str">
        <x:v>3. observed_result chứa bản chép lời, điểm khớp, độ tin cậy, thời lượng và âm lượng.</x:v>
      </x:c>
    </x:row>
    <x:row r="5" ht="26" customHeight="1">
      <x:c r="A5" s="121" t="str">
        <x:v>4. Đạt chỉ được AI gán khi câu khớp rất rõ; kết quả vẫn cần người kiểm thử xác nhận.</x:v>
      </x:c>
    </x:row>
    <x:row r="6" ht="26" customHeight="1">
      <x:c r="A6" s="121" t="str">
        <x:v>5. Không đạt thường là nội dung lệch mạnh hoặc AI không nhận dạng được câu.</x:v>
      </x:c>
    </x:row>
    <x:row r="7" ht="26" customHeight="1">
      <x:c r="A7" s="121" t="str">
        <x:v>6. Không coi khác biệt giọng miền Nam/Miền Bắc là lỗi.</x:v>
      </x:c>
    </x:row>
    <x:row r="8" ht="26" customHeight="1">
      <x:c r="A8" s="121" t="str">
        <x:v>7. Không xóa audio trước khi người kiểm thử hoàn tất xác nhận.</x:v>
      </x:c>
    </x:row>
  </x:sheetData>
  <x:pageMargins left="0.7" right="0.7" top="0.75" bottom="0.75" header="0.3" footer="0.3"/>
</x:worksheet>
</file>